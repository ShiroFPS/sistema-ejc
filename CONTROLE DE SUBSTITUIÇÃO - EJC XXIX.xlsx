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530" yWindow="590" windowWidth="24640" windowHeight="11740" firstSheet="6" activeTab="16"/>
  </bookViews>
  <sheets>
    <sheet name="Jotas" sheetId="1" r:id="rId1"/>
    <sheet name="Geral" sheetId="2" r:id="rId2"/>
    <sheet name="Círculos" sheetId="3" r:id="rId3"/>
    <sheet name="Apresentadores" sheetId="4" r:id="rId4"/>
    <sheet name="Boa Vontade" sheetId="5" r:id="rId5"/>
    <sheet name="Tráfego" sheetId="6" r:id="rId6"/>
    <sheet name="Banda" sheetId="7" r:id="rId7"/>
    <sheet name="Cozinha" sheetId="8" r:id="rId8"/>
    <sheet name="Externa" sheetId="9" r:id="rId9"/>
    <sheet name="Lanche" sheetId="10" r:id="rId10"/>
    <sheet name="Liturgia e Vigília" sheetId="11" r:id="rId11"/>
    <sheet name="Trânsito e Recepção" sheetId="12" r:id="rId12"/>
    <sheet name="Minibox" sheetId="13" r:id="rId13"/>
    <sheet name="Sociodrama" sheetId="14" r:id="rId14"/>
    <sheet name="Ordem" sheetId="15" r:id="rId15"/>
    <sheet name="Secretaria" sheetId="16" r:id="rId16"/>
    <sheet name="Som e Iluminação" sheetId="17" r:id="rId17"/>
    <sheet name="Cálculos" sheetId="18" r:id="rId18"/>
    <sheet name="Espera" sheetId="19" r:id="rId19"/>
  </sheets>
  <calcPr calcId="125725"/>
  <extLst>
    <ext uri="GoogleSheetsCustomDataVersion2">
      <go:sheetsCustomData xmlns:go="http://customooxmlschemas.google.com/" r:id="rId23" roundtripDataChecksum="E30+STc1v88rJJwK31aQbw5SBGq76b+WQCojeYGIeT4="/>
    </ext>
  </extLst>
</workbook>
</file>

<file path=xl/calcChain.xml><?xml version="1.0" encoding="utf-8"?>
<calcChain xmlns="http://schemas.openxmlformats.org/spreadsheetml/2006/main">
  <c r="E38" i="17"/>
  <c r="E37"/>
  <c r="E36"/>
  <c r="E35"/>
  <c r="E43" i="16"/>
  <c r="E42"/>
  <c r="E41"/>
  <c r="E40"/>
  <c r="E54" i="15"/>
  <c r="E53"/>
  <c r="E52"/>
  <c r="E51"/>
  <c r="E40" i="14"/>
  <c r="E39"/>
  <c r="E38"/>
  <c r="E37"/>
  <c r="E63" i="13"/>
  <c r="E62"/>
  <c r="E61"/>
  <c r="E60"/>
  <c r="E56" i="12"/>
  <c r="E55"/>
  <c r="E54"/>
  <c r="E58" i="11"/>
  <c r="E57"/>
  <c r="E56"/>
  <c r="E55"/>
  <c r="E56" i="10"/>
  <c r="E55"/>
  <c r="E54"/>
  <c r="E53"/>
  <c r="E44" i="8"/>
  <c r="E43"/>
  <c r="E42"/>
  <c r="E41"/>
  <c r="E47" i="7"/>
  <c r="E46"/>
  <c r="E45"/>
  <c r="E44"/>
  <c r="E60" i="6"/>
  <c r="E59"/>
  <c r="E58"/>
  <c r="A35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34"/>
  <c r="E59" i="5"/>
  <c r="E58"/>
  <c r="E57"/>
  <c r="E56"/>
  <c r="E60" s="1"/>
  <c r="A8"/>
  <c r="E8" i="4"/>
  <c r="E7"/>
  <c r="E6"/>
  <c r="E5"/>
  <c r="E9" s="1"/>
  <c r="E17" i="3"/>
  <c r="E16"/>
  <c r="E15"/>
  <c r="E14"/>
  <c r="E18" s="1"/>
  <c r="E10" i="2"/>
  <c r="E9"/>
  <c r="E8"/>
  <c r="E7"/>
  <c r="E11" s="1"/>
  <c r="E39" i="17" l="1"/>
  <c r="E44" i="16"/>
  <c r="E55" i="15"/>
  <c r="E41" i="14"/>
  <c r="E64" i="13"/>
  <c r="E58" i="12"/>
  <c r="E59" i="11"/>
  <c r="C1" i="18"/>
  <c r="E57" i="10"/>
  <c r="E45" i="8"/>
  <c r="E48" i="7"/>
  <c r="C5" i="18"/>
  <c r="C4"/>
  <c r="E62" i="6"/>
  <c r="C3" i="18"/>
  <c r="C7" l="1"/>
</calcChain>
</file>

<file path=xl/sharedStrings.xml><?xml version="1.0" encoding="utf-8"?>
<sst xmlns="http://schemas.openxmlformats.org/spreadsheetml/2006/main" count="1967" uniqueCount="1176">
  <si>
    <t>Nº</t>
  </si>
  <si>
    <t>NOME</t>
  </si>
  <si>
    <t>TELEFONE</t>
  </si>
  <si>
    <t>PASTA</t>
  </si>
  <si>
    <t xml:space="preserve">Daniel Dantas </t>
  </si>
  <si>
    <t>(83) 9 8744-1004</t>
  </si>
  <si>
    <t xml:space="preserve">J Comunicação </t>
  </si>
  <si>
    <t>H</t>
  </si>
  <si>
    <t>Jonathas Bezerra</t>
  </si>
  <si>
    <t>(83) 9 9888-2288</t>
  </si>
  <si>
    <t xml:space="preserve">J Montagem </t>
  </si>
  <si>
    <t>João Edson Lemos</t>
  </si>
  <si>
    <t>(83) 9 8724-4737</t>
  </si>
  <si>
    <t xml:space="preserve">J Pastoral </t>
  </si>
  <si>
    <t>Natália Dantas</t>
  </si>
  <si>
    <t>(83) 9 8188-4055</t>
  </si>
  <si>
    <t xml:space="preserve">J Finanças </t>
  </si>
  <si>
    <t>M</t>
  </si>
  <si>
    <t xml:space="preserve">Thais Cartaxo </t>
  </si>
  <si>
    <t>(83) 9 9108-7617</t>
  </si>
  <si>
    <t xml:space="preserve">J Fichas </t>
  </si>
  <si>
    <t>Mariana Meda</t>
  </si>
  <si>
    <t>(83) 9 9180-8606</t>
  </si>
  <si>
    <t xml:space="preserve">J Pos-Encontro </t>
  </si>
  <si>
    <t>substituição</t>
  </si>
  <si>
    <t>troca ou observação</t>
  </si>
  <si>
    <t>corte</t>
  </si>
  <si>
    <t>EMAIL</t>
  </si>
  <si>
    <t>George Marques</t>
  </si>
  <si>
    <t>(83) 99630-7028</t>
  </si>
  <si>
    <t>COORD</t>
  </si>
  <si>
    <t>Letícia Lima</t>
  </si>
  <si>
    <t>(83) 99644-3552</t>
  </si>
  <si>
    <t>Renata Cavalcanti e Bruno Ávila</t>
  </si>
  <si>
    <t>(83) 9 9620-6078</t>
  </si>
  <si>
    <t>Final</t>
  </si>
  <si>
    <t>Casal</t>
  </si>
  <si>
    <t>Homens:</t>
  </si>
  <si>
    <t>Mulheres:</t>
  </si>
  <si>
    <t>Coordenadores:</t>
  </si>
  <si>
    <t>Total:</t>
  </si>
  <si>
    <t>Observação/Motivo</t>
  </si>
  <si>
    <t>Antônio Neto</t>
  </si>
  <si>
    <t>(83) 99658-6607</t>
  </si>
  <si>
    <t xml:space="preserve">Marina Leite </t>
  </si>
  <si>
    <t>(83) 9 9952-4696</t>
  </si>
  <si>
    <t>Ney Junior e Karine Montenegro</t>
  </si>
  <si>
    <t>(83) 9 9605-2100 / (83) 9 9654-5296</t>
  </si>
  <si>
    <t>Aline Ventura</t>
  </si>
  <si>
    <t>(83) 99607-2638</t>
  </si>
  <si>
    <t xml:space="preserve">Allan Carlos França da Silva </t>
  </si>
  <si>
    <t xml:space="preserve">(83) 996054913 </t>
  </si>
  <si>
    <t>Andara Hanna</t>
  </si>
  <si>
    <t>(84) 99902-0234</t>
  </si>
  <si>
    <t>Bruno Márcio Viana da Silva</t>
  </si>
  <si>
    <t>(83) 9 8734-7438</t>
  </si>
  <si>
    <t xml:space="preserve">Iago Gurgel de Queiroz </t>
  </si>
  <si>
    <t>(83) 9 8876-9227</t>
  </si>
  <si>
    <t>Maria Luiza Passos Teobaldo</t>
  </si>
  <si>
    <t>(83) 9 9309-8320</t>
  </si>
  <si>
    <t>Maria Victoria Lima</t>
  </si>
  <si>
    <t>(81) 9 8890-6228</t>
  </si>
  <si>
    <t>Matheus Tito de Oliveira Silva</t>
  </si>
  <si>
    <t>(11) 97139-7325</t>
  </si>
  <si>
    <t>Rodrigo Mendes</t>
  </si>
  <si>
    <t>(83) 9 8879-4300</t>
  </si>
  <si>
    <t xml:space="preserve">Sophia Libório de Araújo Carneiro </t>
  </si>
  <si>
    <t>(83) 9 9117-1994</t>
  </si>
  <si>
    <t>Luiz Felipe Duarte</t>
  </si>
  <si>
    <t>(86) 99431-7979</t>
  </si>
  <si>
    <t>Ravenna Formiga</t>
  </si>
  <si>
    <t>(83) 9 9841-8850</t>
  </si>
  <si>
    <t>Victor Gabriel Costa Campos de Azevedo</t>
  </si>
  <si>
    <t>(83) 9 8811-1307</t>
  </si>
  <si>
    <t>Eduarda Muniz</t>
  </si>
  <si>
    <t>(83) 986735613</t>
  </si>
  <si>
    <t>Rodrigo Carneiro e Cynthia Brandão</t>
  </si>
  <si>
    <t>(83) 9 8895-1598</t>
  </si>
  <si>
    <t>C</t>
  </si>
  <si>
    <t>Allana Marcolino e Yago Marcolino</t>
  </si>
  <si>
    <t>(83) 9 9896-9009 / (83) 9 9634-7471</t>
  </si>
  <si>
    <t>Franklin Roosevelt Honorato Sampaio e Amanda Nóbrega</t>
  </si>
  <si>
    <t>(83) 9 9627-1202</t>
  </si>
  <si>
    <t>Pamella Saraiva e Lucas Cavalcante</t>
  </si>
  <si>
    <t>(83) 9 9939-4520</t>
  </si>
  <si>
    <t>Marcus Vinicius Leite do Vale e Tatyany Leite Rangel do Vale</t>
  </si>
  <si>
    <t>(83) 9 9332-6451 / (83) 9 9921-9281</t>
  </si>
  <si>
    <t>Ana Beatriz Dos Santos Mendonça</t>
  </si>
  <si>
    <t>(83) 98618-3139</t>
  </si>
  <si>
    <t>Ana Carolina Porpino Buriti</t>
  </si>
  <si>
    <t>(83) 9 9878-4142</t>
  </si>
  <si>
    <t xml:space="preserve">Ana Clara Figueiredo </t>
  </si>
  <si>
    <t>(83) 9 9653-9588</t>
  </si>
  <si>
    <t xml:space="preserve">Ana Isabella Vieira </t>
  </si>
  <si>
    <t>(83) 9 9302-3521</t>
  </si>
  <si>
    <t>Bruno Herbrt Bastos Queiroga (laranja ano XXVIII)</t>
  </si>
  <si>
    <t>(83) 99362-5420</t>
  </si>
  <si>
    <t>Camila Alves Correia Lima (verde ano XXVIII)</t>
  </si>
  <si>
    <t>(83) 99698-6641</t>
  </si>
  <si>
    <t xml:space="preserve">Carlos Cezar Barreiro da Silva </t>
  </si>
  <si>
    <t>(83) 99658-8683</t>
  </si>
  <si>
    <t xml:space="preserve">Cecília Marinho </t>
  </si>
  <si>
    <t>(83) 9 8645-0723</t>
  </si>
  <si>
    <t xml:space="preserve">Cíntia Maria Tagliatti Roque </t>
  </si>
  <si>
    <t>(87) 9 9813-9232</t>
  </si>
  <si>
    <t>Clarice Cavalcanti Vieira</t>
  </si>
  <si>
    <t>(83) 991465676</t>
  </si>
  <si>
    <t xml:space="preserve">Damião Gomes Sarmento Neto (vermelho ano XXVIII) </t>
  </si>
  <si>
    <t>(83) 99961-1849</t>
  </si>
  <si>
    <t>Edmison Gomes De Sousa Sobrinho (laranja ano XXVIII)</t>
  </si>
  <si>
    <t>(83) 98132-7588</t>
  </si>
  <si>
    <t>Eduardo Rodrigues De Menezes Dib ( azul ano XXVIII)</t>
  </si>
  <si>
    <t>(83) 99995-0202</t>
  </si>
  <si>
    <t xml:space="preserve">Elio Ribeiro De Morais Filho (azul ano XXVIII) </t>
  </si>
  <si>
    <t>(83) 99957-4322</t>
  </si>
  <si>
    <t>Flávia Souza</t>
  </si>
  <si>
    <t>(83) 9 9629-5125</t>
  </si>
  <si>
    <t>Gabriela Bezerra Lyra</t>
  </si>
  <si>
    <t>(83) 9 8667-6206</t>
  </si>
  <si>
    <t>Gabrielly Brito de Souza</t>
  </si>
  <si>
    <t>(83) 9 8123-5070</t>
  </si>
  <si>
    <t xml:space="preserve">Geovanna Patricia Vieira Medeiros Melo (amarelo ano XXVIII) </t>
  </si>
  <si>
    <t>(81) 99194-4993</t>
  </si>
  <si>
    <t>Hanuska Lima</t>
  </si>
  <si>
    <t>(83) 9 8231-7370</t>
  </si>
  <si>
    <t>Isabela Valadares</t>
  </si>
  <si>
    <t>(83) 9 8764-3100</t>
  </si>
  <si>
    <t>Jessica Fernandes de Figueiredo</t>
  </si>
  <si>
    <t>(83) 9 8740-6277</t>
  </si>
  <si>
    <t xml:space="preserve">Joselio Cesar Arnaud De Oliveira (azul ano XXVIII) </t>
  </si>
  <si>
    <t>(83) 99106-0365</t>
  </si>
  <si>
    <t xml:space="preserve">Julia Barbosa Coco (azul ano XXVIII) </t>
  </si>
  <si>
    <t>(84) 99676-0100</t>
  </si>
  <si>
    <t>Kemillyn Carneiro Amorim de Medeiros Dias (verde ano XXVIII)</t>
  </si>
  <si>
    <t>(83) 98220-0478</t>
  </si>
  <si>
    <t>Laura de Melo Neiva Vaz</t>
  </si>
  <si>
    <t>(83) 99181-8282</t>
  </si>
  <si>
    <t>Layanny Lira</t>
  </si>
  <si>
    <t>(83) 99143-5340</t>
  </si>
  <si>
    <t>Leonardo Maia</t>
  </si>
  <si>
    <t>(83) 9 9695-6284</t>
  </si>
  <si>
    <t>Manuela Medeiros Trindade Sousa</t>
  </si>
  <si>
    <t>(83) 98729-1647</t>
  </si>
  <si>
    <t>Maria Eduarda Alves Peixoto de Abreu ( amarelo ano XXVIII)</t>
  </si>
  <si>
    <t>(83) 99900-5551</t>
  </si>
  <si>
    <t>Maria Fernanda Aguiar Ribeiro Coutinho</t>
  </si>
  <si>
    <t>(83) 9 9109-0000</t>
  </si>
  <si>
    <t>Maria Luiza Alves Lopes (vermelho ano XXVIII)</t>
  </si>
  <si>
    <t>(83) 99396-7204</t>
  </si>
  <si>
    <t>Maria Luiza Borba</t>
  </si>
  <si>
    <t>(84) 98715-0660</t>
  </si>
  <si>
    <t xml:space="preserve">Maria Tereza Lira Dias (amarelo ano XXVIII) </t>
  </si>
  <si>
    <t>(83) 99316-0361</t>
  </si>
  <si>
    <t>Mayra Maia Pedrosa</t>
  </si>
  <si>
    <t>(83) 9 8897-0951</t>
  </si>
  <si>
    <t>Nicoly Layla Bonifácio</t>
  </si>
  <si>
    <t>(83) 9 8861-6823</t>
  </si>
  <si>
    <t>Pedro Henrique Delgado De Araujo Fonseca (Verde ano XXVIII)</t>
  </si>
  <si>
    <t>(83) 98710-8493</t>
  </si>
  <si>
    <t xml:space="preserve">Pedro Vinicius Farias Santiago (verde ano XXVIII) </t>
  </si>
  <si>
    <t>(83) 98191-8092</t>
  </si>
  <si>
    <t xml:space="preserve">Rebecca Avelino de Andrade (amarelo ano XXVIII) </t>
  </si>
  <si>
    <t>(83) 99895-7257</t>
  </si>
  <si>
    <t>Talita Barbosa Minhoto</t>
  </si>
  <si>
    <t>(83) 999453861</t>
  </si>
  <si>
    <t>Valentina Jung</t>
  </si>
  <si>
    <t>(83) 9 9168-1187</t>
  </si>
  <si>
    <t xml:space="preserve">Weberton de Araújo Barreto Filho </t>
  </si>
  <si>
    <t>(83) 9 9109-5612</t>
  </si>
  <si>
    <t>Ana Julia Figueiredo Abrantes</t>
  </si>
  <si>
    <t>(83) 9 8133-0408</t>
  </si>
  <si>
    <t xml:space="preserve">Larissa Rocha Galdino </t>
  </si>
  <si>
    <t>(83) 9 9980-1828</t>
  </si>
  <si>
    <t>Amanda Abrantes e Lucas Marsicano</t>
  </si>
  <si>
    <t>(83) 9 9935-4858 / (83) 9 9191-6168</t>
  </si>
  <si>
    <t>nº de encontristas XXIV: 10</t>
  </si>
  <si>
    <t>tentar montar mais homens</t>
  </si>
  <si>
    <t>Inicial</t>
  </si>
  <si>
    <t xml:space="preserve">Casais: </t>
  </si>
  <si>
    <t xml:space="preserve">Coordenadores: </t>
  </si>
  <si>
    <t xml:space="preserve">Total: </t>
  </si>
  <si>
    <t xml:space="preserve">Thiago Emmanuel de Melo Benevides Pessôa </t>
  </si>
  <si>
    <t xml:space="preserve">83 99944-8944 </t>
  </si>
  <si>
    <t xml:space="preserve">Nicole Macedo Vidal de Negreiros </t>
  </si>
  <si>
    <t>(83) 9 9832-2009</t>
  </si>
  <si>
    <t>Amanda mafra e Vitor Pacífico Feitosa</t>
  </si>
  <si>
    <t>(83) 9 9872-5752 / (83) 9 8721-5868</t>
  </si>
  <si>
    <t>Larissa de França Campos e Thiago Brito Lira Regis de Amorim</t>
  </si>
  <si>
    <t>83) 98770-5956 e (83) 98723-5283</t>
  </si>
  <si>
    <t>Deborah Farias e Eduardo Jacome</t>
  </si>
  <si>
    <t>(83) 9 9444-8993</t>
  </si>
  <si>
    <t>Mariana De Queiroz Pacheco e Robson Carlos Coelho da Silva</t>
  </si>
  <si>
    <t>(83) 9 9959-1789 / (83) 9 9608-1707</t>
  </si>
  <si>
    <t>Harrison Targino e Ana Larissa Duarte</t>
  </si>
  <si>
    <t>(83) 9 9101-8267</t>
  </si>
  <si>
    <t>Amanda Camelo Menezes Barreto ( laranja ano XXVIII)</t>
  </si>
  <si>
    <t>(83) 98868-9584</t>
  </si>
  <si>
    <t xml:space="preserve">Amanda de Almeida Morais </t>
  </si>
  <si>
    <t>(83) 98106-5156</t>
  </si>
  <si>
    <t>Ana Beatriz Cardoso Feitosa (verde ano XXVIII)</t>
  </si>
  <si>
    <t>(83) 98901-6888</t>
  </si>
  <si>
    <t>Ana Beatriz da Nóbrega</t>
  </si>
  <si>
    <t>(83) 9 9118-0326</t>
  </si>
  <si>
    <t>Ana Beatriz de Mendonça Bandeira (vermelho ano XXVIII)</t>
  </si>
  <si>
    <t>(83) 98663-2849</t>
  </si>
  <si>
    <t>Ana Júlia de Queiroz Bonfim</t>
  </si>
  <si>
    <t>(83) 9 9891-3654</t>
  </si>
  <si>
    <t>Anna Letícia Menezes Gomes Ferreira</t>
  </si>
  <si>
    <t>(87)99621-3983</t>
  </si>
  <si>
    <t>Anna Mel Cabral</t>
  </si>
  <si>
    <t>(83) 98614-0491</t>
  </si>
  <si>
    <t>Arthur Lacerda</t>
  </si>
  <si>
    <t>(83) 986553231</t>
  </si>
  <si>
    <t>Camila Sena</t>
  </si>
  <si>
    <t>(83) 9 8719-7444</t>
  </si>
  <si>
    <t>Clarissa Lopes</t>
  </si>
  <si>
    <t>(83) 9 9323-5589</t>
  </si>
  <si>
    <t xml:space="preserve">Dominiquy Killy Nunes de Souza (amarelo ano XXVIII) </t>
  </si>
  <si>
    <t>(83) 98234-7133</t>
  </si>
  <si>
    <t xml:space="preserve">Fabiano Quirino da Silva (azul ano XXVIII) </t>
  </si>
  <si>
    <t>(83) 99307-3296</t>
  </si>
  <si>
    <t>Felipe Bittencort Fernandes (amarelo ano XXVIII)</t>
  </si>
  <si>
    <t>(83) 99660-4332</t>
  </si>
  <si>
    <t xml:space="preserve">Gabriel Lima Henriques </t>
  </si>
  <si>
    <t>(83) 9 8862-6201</t>
  </si>
  <si>
    <t xml:space="preserve">Giovanna Letícia Dantas de Lima </t>
  </si>
  <si>
    <t>(83) 9 8811-2287</t>
  </si>
  <si>
    <t xml:space="preserve">Glaudir Donato Pinto Júnior </t>
  </si>
  <si>
    <t>(83) 9 9830-8778</t>
  </si>
  <si>
    <t>Guilherme Soares</t>
  </si>
  <si>
    <t>(83) 99927-4470</t>
  </si>
  <si>
    <t xml:space="preserve">Gustavo Romão </t>
  </si>
  <si>
    <t>(83) 9 8232-3425</t>
  </si>
  <si>
    <t>Isabelle Inocêncio</t>
  </si>
  <si>
    <t>(83) 99146-2384</t>
  </si>
  <si>
    <t>Isadora Silva Cavalcanti</t>
  </si>
  <si>
    <t>(83) 987950878</t>
  </si>
  <si>
    <t>Isis Mendes</t>
  </si>
  <si>
    <t>(83) 9 8104-2001</t>
  </si>
  <si>
    <t>Ivan amaral Vilela filho</t>
  </si>
  <si>
    <t>(87)999646300</t>
  </si>
  <si>
    <t>John Herberth Pereira Gomes</t>
  </si>
  <si>
    <t>(83) 9 8843-4655</t>
  </si>
  <si>
    <t>Julia Vitoria Tomaz Alves</t>
  </si>
  <si>
    <t>(83) 998479045</t>
  </si>
  <si>
    <t>Lairla de Cássia Farias da Silva</t>
  </si>
  <si>
    <t>(81) 984209131</t>
  </si>
  <si>
    <t xml:space="preserve">Larissa Emmilly de Lima Melo </t>
  </si>
  <si>
    <t>(83) 9 9915-5814</t>
  </si>
  <si>
    <t>Lourdyanne Santos Leite</t>
  </si>
  <si>
    <t>(83) 994017819</t>
  </si>
  <si>
    <t>Lucas Barros</t>
  </si>
  <si>
    <t>(83) 99115-1856</t>
  </si>
  <si>
    <t>Lucas do N. Meireles</t>
  </si>
  <si>
    <t>(83) 988769750</t>
  </si>
  <si>
    <t xml:space="preserve">Luíza de Magalhães Melo Vieira </t>
  </si>
  <si>
    <t>(83) 98854-3555</t>
  </si>
  <si>
    <t>Luíza Marinho</t>
  </si>
  <si>
    <t>(83) 999601502</t>
  </si>
  <si>
    <t xml:space="preserve">Maria Ananda Moreira Pereira </t>
  </si>
  <si>
    <t>(83) 9 9388-6181</t>
  </si>
  <si>
    <t xml:space="preserve">Maria Vitória Lins Guerra    </t>
  </si>
  <si>
    <t>(83) 9 9124-8448</t>
  </si>
  <si>
    <t>Mariana Beatriz</t>
  </si>
  <si>
    <t>(83) 98164-0174</t>
  </si>
  <si>
    <t>Matheus Meda</t>
  </si>
  <si>
    <t>(83) 99163-5885</t>
  </si>
  <si>
    <t>Pedro Ernane Cavalcanti Portela e Silva</t>
  </si>
  <si>
    <t>83 99989-1233</t>
  </si>
  <si>
    <t xml:space="preserve">Rafael Dantas Marinho (amarelo ano XXVIII) </t>
  </si>
  <si>
    <t>(83) 98645-5002</t>
  </si>
  <si>
    <t xml:space="preserve">Rafaela Luiza Rocha de Oliveira </t>
  </si>
  <si>
    <t>(83) 99911-7834</t>
  </si>
  <si>
    <t xml:space="preserve">Thaís Lucena de Oliveira </t>
  </si>
  <si>
    <t>(83) 9 9939-4608</t>
  </si>
  <si>
    <t>Vitor Gabriel Martins</t>
  </si>
  <si>
    <t>(83) 99970-2820</t>
  </si>
  <si>
    <t xml:space="preserve">                Thaisa Maria de Almeida Monteiro Caldas </t>
  </si>
  <si>
    <t xml:space="preserve">                   ( 83) 9 9412-2445</t>
  </si>
  <si>
    <t>Mirella Maria Costa e Silva e Gabriel José Monteiro Ramalho</t>
  </si>
  <si>
    <t xml:space="preserve">(83) 98134-7776 (83) 9 8745-4247
</t>
  </si>
  <si>
    <t>nº de encontristas XXIV: 6</t>
  </si>
  <si>
    <t>Alysson Teotônio</t>
  </si>
  <si>
    <t>(83) 9 9985-5083</t>
  </si>
  <si>
    <t xml:space="preserve">Andressa Gomes Pereira </t>
  </si>
  <si>
    <t>(83) 9 8728-2593</t>
  </si>
  <si>
    <t>Anna Raquel Serrano e Fábio Almeida</t>
  </si>
  <si>
    <t>(83) 9 9921-1001 / (83) 9 8885-6023</t>
  </si>
  <si>
    <t>Pân Cruz e Túlio</t>
  </si>
  <si>
    <t>(83) 9 8840-0337</t>
  </si>
  <si>
    <t>Victor Felipe e Iana Andrade</t>
  </si>
  <si>
    <t>(83) 9 8858-7437 / (83) 9 9835-5174</t>
  </si>
  <si>
    <t>Heloisa Ferreira e Alexandre</t>
  </si>
  <si>
    <t>(83) 9 9621-7201</t>
  </si>
  <si>
    <t xml:space="preserve"> José Lucas Gomes de Lacerda</t>
  </si>
  <si>
    <t>(83) 987345030</t>
  </si>
  <si>
    <t>Alexandre Delgado</t>
  </si>
  <si>
    <t>(83) 9 9805-7600</t>
  </si>
  <si>
    <t>Alicya Gomes Onofre de Araújo</t>
  </si>
  <si>
    <t>(83) 981157729</t>
  </si>
  <si>
    <t>Arthur Luciano da Silva</t>
  </si>
  <si>
    <t>(83) 9 9111-2947</t>
  </si>
  <si>
    <t xml:space="preserve">Beatrice rocha Gadelha (azul ano XXVIII) </t>
  </si>
  <si>
    <t>(83) 99103-1824</t>
  </si>
  <si>
    <t xml:space="preserve">Beatriz Souza Alves (vermelho ano XXVIII) </t>
  </si>
  <si>
    <t>(83) 99419-6060</t>
  </si>
  <si>
    <t>Bruno Silva Porfírio dos Santos</t>
  </si>
  <si>
    <t>8398804-6327</t>
  </si>
  <si>
    <t xml:space="preserve">Caio Eduardo Pontes de Brito (amarelo ano XXVIII) </t>
  </si>
  <si>
    <t>(83) 99697-1971</t>
  </si>
  <si>
    <t>Carolina Braga De Abreu (verde ano XXVIII)</t>
  </si>
  <si>
    <t>(83) 99661-7757</t>
  </si>
  <si>
    <t>Esthefani Moizinho</t>
  </si>
  <si>
    <t>(83) 986535437</t>
  </si>
  <si>
    <t xml:space="preserve">Esthefany Maria Correia Henrique </t>
  </si>
  <si>
    <t>(83) 9 8840-3579</t>
  </si>
  <si>
    <t>Felipe Estevão</t>
  </si>
  <si>
    <t>(83) 9 8712-9401</t>
  </si>
  <si>
    <t>Gabriel Coelho</t>
  </si>
  <si>
    <t>(83) 9 9990-5711</t>
  </si>
  <si>
    <t>Germano Antonio</t>
  </si>
  <si>
    <t>(83) 987124766</t>
  </si>
  <si>
    <t>Ian Gabriel Sobreira Bodu (vermelho ano XXVIII</t>
  </si>
  <si>
    <t>(83) 98154-4722</t>
  </si>
  <si>
    <t xml:space="preserve">Joyce Tavares Soares </t>
  </si>
  <si>
    <t>(83) 9 9600-7844</t>
  </si>
  <si>
    <t>Juvenal De Souza Veras Neto (vermelho ano XXVIII)</t>
  </si>
  <si>
    <t>(83) 99996-2368</t>
  </si>
  <si>
    <t>Luis Felipe Dos Santos Andrade ( verde ano XXVIII)</t>
  </si>
  <si>
    <t>(83) 99630-2230</t>
  </si>
  <si>
    <t>Maria Gabriela Maciel Corrêa Madruga</t>
  </si>
  <si>
    <t>Maria Luiza Torres Brito Vieira (vermelho ano XXVIII)</t>
  </si>
  <si>
    <t>(83) 99336-9727</t>
  </si>
  <si>
    <t xml:space="preserve">Matheus Ereciano (azul ano XXVIII) </t>
  </si>
  <si>
    <t>(83) 99687-0030</t>
  </si>
  <si>
    <t xml:space="preserve">Nina Maria Mamede (verde ano XXVIII) </t>
  </si>
  <si>
    <t>(83) 99671-3071</t>
  </si>
  <si>
    <t>Thais Aline Evangelista</t>
  </si>
  <si>
    <t>(83) 9 9989-6275</t>
  </si>
  <si>
    <t>Thamyres Maria De Almeida Oliveira (verde ano XXVIII)</t>
  </si>
  <si>
    <t>(83) 99991-4143</t>
  </si>
  <si>
    <t>Tiago Jardim Lima Dias</t>
  </si>
  <si>
    <t>(83) 9 9833-5336</t>
  </si>
  <si>
    <t>Vinicius Eufrásio</t>
  </si>
  <si>
    <t>(37) 9 9909-4443</t>
  </si>
  <si>
    <t>Yasmin Dutra Morais Brito (verde ano XXVIII)</t>
  </si>
  <si>
    <t>(83) 99687-2977</t>
  </si>
  <si>
    <t>Wanduy Brindeiro Neto e Raoany Guerra</t>
  </si>
  <si>
    <t>(83)99823-4154 (83) 99947-8987</t>
  </si>
  <si>
    <t>nº de encontristas XXIV: 7</t>
  </si>
  <si>
    <t xml:space="preserve">Casal: </t>
  </si>
  <si>
    <t>Total: 35</t>
  </si>
  <si>
    <t>Karla Cosmo</t>
  </si>
  <si>
    <t>(83) 9 9303-1253</t>
  </si>
  <si>
    <t xml:space="preserve">Victor de Medeiros Gomes </t>
  </si>
  <si>
    <t>(83) 9 9620-2629</t>
  </si>
  <si>
    <t>Orlando Junior e Debora</t>
  </si>
  <si>
    <t>(83) 9 9922-7013 / (83) 9 9927-0643</t>
  </si>
  <si>
    <t>Régis Moura e Byanka Melo</t>
  </si>
  <si>
    <t>(83) 99900-0711 / (83) 98849-3918</t>
  </si>
  <si>
    <t xml:space="preserve">Eduardo Cézar Augusto Brandão e Ana Karina Marinho </t>
  </si>
  <si>
    <t>(83) 9 9638-3527 / (83) 9 9312-6886</t>
  </si>
  <si>
    <t>Rebeka Queiroz e Igor Moreira</t>
  </si>
  <si>
    <t>(83) 9 9602-3399</t>
  </si>
  <si>
    <t xml:space="preserve">Alisson Madruga e Amanda Gomes </t>
  </si>
  <si>
    <t>(83) 9 9111-8981 / (83) 9 9949-5422</t>
  </si>
  <si>
    <t>Amanda Medeiros Nobrega</t>
  </si>
  <si>
    <t>(83)996051319</t>
  </si>
  <si>
    <t xml:space="preserve">Ana Beatriz de Souza Lima e Silva </t>
  </si>
  <si>
    <t>(83) 998168-1578</t>
  </si>
  <si>
    <t>Anne Maria Mendes Ferreira</t>
  </si>
  <si>
    <t>(83) 9 8218-1744</t>
  </si>
  <si>
    <t>Augusto Lustosa de Alencar e Fortoura (laranja ano XXVIII)</t>
  </si>
  <si>
    <t>(83) 98772-3068</t>
  </si>
  <si>
    <t>Bárbara Leite</t>
  </si>
  <si>
    <t>(83) 9 9693-3136</t>
  </si>
  <si>
    <t>Cainã Fernandes</t>
  </si>
  <si>
    <t>(83) 9 9647-0651</t>
  </si>
  <si>
    <t>Claudia Viviane Moura de Queiroga</t>
  </si>
  <si>
    <t>(87) 9 9643-8345</t>
  </si>
  <si>
    <t xml:space="preserve">Cláudio Costa Neves Barbosa </t>
  </si>
  <si>
    <t>(83) 9 8809-9032</t>
  </si>
  <si>
    <t>Eduardo Silva Medeiros</t>
  </si>
  <si>
    <t>(83) 9 9911-9525</t>
  </si>
  <si>
    <t xml:space="preserve">Erivaldo herculano </t>
  </si>
  <si>
    <t>(83) 988971333</t>
  </si>
  <si>
    <t>Gabriela Neiva</t>
  </si>
  <si>
    <t>(83)993244114</t>
  </si>
  <si>
    <t>Giovana Gatinho de Sousa</t>
  </si>
  <si>
    <t>(83) 9 9409-4736</t>
  </si>
  <si>
    <t>Igor Barbosa Da Silva (vermelho ano XXVIII)</t>
  </si>
  <si>
    <t>(83) 99877-6225</t>
  </si>
  <si>
    <t>Janelson Lucas Dias Feitosa</t>
  </si>
  <si>
    <t>(83) 9 9874-0099</t>
  </si>
  <si>
    <t>João Hildo Batista Figueiredo Silva</t>
  </si>
  <si>
    <t>(83) 9 8690-3760</t>
  </si>
  <si>
    <t>João Vitor Almeida</t>
  </si>
  <si>
    <t>(83) ​​99845-4363</t>
  </si>
  <si>
    <t xml:space="preserve">João Vitor Gomes Morais (verde ano XXVIII) </t>
  </si>
  <si>
    <t>(83) 99615-2898</t>
  </si>
  <si>
    <t xml:space="preserve">Kaue Fonseca Rodrigues </t>
  </si>
  <si>
    <t>(83) 9 9604-5892</t>
  </si>
  <si>
    <t xml:space="preserve">Laura Oliveira Pereira (amarelo ano XXVIII) </t>
  </si>
  <si>
    <t>(81) 98902-1532</t>
  </si>
  <si>
    <t>Letícia O. Guedes</t>
  </si>
  <si>
    <t>(83) 9 9674-9090</t>
  </si>
  <si>
    <t>Maria Luiza de Assis Chaves</t>
  </si>
  <si>
    <t>(83) 98704-0054</t>
  </si>
  <si>
    <t xml:space="preserve">Maria Luiza Formiga Barros Batista </t>
  </si>
  <si>
    <t>(83) 9 8887-1102</t>
  </si>
  <si>
    <t xml:space="preserve">Patrick Luan Ventura Aragão </t>
  </si>
  <si>
    <t>(83) 9 8677-5115</t>
  </si>
  <si>
    <t>Rafael Villar</t>
  </si>
  <si>
    <t>(83) 9 9997-4412</t>
  </si>
  <si>
    <t>Rayonnara Yasmin S. do Nascimento</t>
  </si>
  <si>
    <t>(83) 9 8780-8475</t>
  </si>
  <si>
    <t xml:space="preserve">Rebecca Peixoto </t>
  </si>
  <si>
    <t>(83) 9 8909-7333</t>
  </si>
  <si>
    <t>Rodolfo Alves de Oliveira Corsta</t>
  </si>
  <si>
    <t>(83) 9 9857-3806</t>
  </si>
  <si>
    <t xml:space="preserve">Romulo Daniel Farias </t>
  </si>
  <si>
    <t>(83) 9 9605-8477</t>
  </si>
  <si>
    <t>Rose Camilla da Silva Lima</t>
  </si>
  <si>
    <t>(83)998945609</t>
  </si>
  <si>
    <t xml:space="preserve">Thayná Leite dos Santos </t>
  </si>
  <si>
    <t>(83) 3244-5025 / (83) 99186-0433</t>
  </si>
  <si>
    <t>CASAIS</t>
  </si>
  <si>
    <t>SOLTEIROS</t>
  </si>
  <si>
    <t>OBSERVAÇÃO</t>
  </si>
  <si>
    <t>M/H/C</t>
  </si>
  <si>
    <t>Raissa Pombo</t>
  </si>
  <si>
    <t>(83) 99634-0725</t>
  </si>
  <si>
    <t xml:space="preserve"> Wendel Tavares Fontana (Azul Ano XXVII)</t>
  </si>
  <si>
    <t>(81) 9 9972-7826</t>
  </si>
  <si>
    <t xml:space="preserve">Beatriz Paiva Paulo Neto </t>
  </si>
  <si>
    <t>(83) 9 9691-2252</t>
  </si>
  <si>
    <t>biapneto@gmail.com</t>
  </si>
  <si>
    <t>Luisa Zacarias e Juliano Taner</t>
  </si>
  <si>
    <t>(83) 9 9971-2779 / (83) 9 8747-1212</t>
  </si>
  <si>
    <t>Tiê e Pedro</t>
  </si>
  <si>
    <t>(83) 9 8856-7355 / (83) 9 8810-2624</t>
  </si>
  <si>
    <t xml:space="preserve">Marina Reis e Gustavo Marques </t>
  </si>
  <si>
    <t>(83) 9 8828-5746 / (83) 9 8826-0297</t>
  </si>
  <si>
    <t>Camila Cristiane e Yuri</t>
  </si>
  <si>
    <t>(83) 9 9802-3650</t>
  </si>
  <si>
    <t xml:space="preserve">Cassilda e Fernando </t>
  </si>
  <si>
    <t>(83) 99664-2900 / 9 9971-8687</t>
  </si>
  <si>
    <t>Marclineide e Junior</t>
  </si>
  <si>
    <t>(83) 9 9921-9650</t>
  </si>
  <si>
    <t>Valdi e Betania</t>
  </si>
  <si>
    <t>(83) 9 9410-1219 / (83) 9 8855-7206</t>
  </si>
  <si>
    <t>Valdir Landegraff e Francisca Samara</t>
  </si>
  <si>
    <t>(83) 9 8891-3418 / (83) 9 9983-1987</t>
  </si>
  <si>
    <t xml:space="preserve">Ana Claudia Coutinho e Weyber </t>
  </si>
  <si>
    <t>(83) 9 8625-0390 / (83) 9 8838-9516</t>
  </si>
  <si>
    <t>Jogilmira Macedo e Djalma Mendes</t>
  </si>
  <si>
    <t>(83) 9 9841-3367 / (83) 9 9691-0669</t>
  </si>
  <si>
    <t>Viviam dos Santos e Renato Alves</t>
  </si>
  <si>
    <t>(83) 9 8189-0261 / (83) 9 8156-3202</t>
  </si>
  <si>
    <t>Ellen e Raphael</t>
  </si>
  <si>
    <t>(83) 9 9651-6888</t>
  </si>
  <si>
    <t>Mauricé Ferreira de Moraes Araújo e Gilmario de Araujo Pereira</t>
  </si>
  <si>
    <t>(81) 9 9316-1727 / (83) 9 9115-8669</t>
  </si>
  <si>
    <t>Aurea Mouzinho e Joaquim Toscano</t>
  </si>
  <si>
    <t>(83) 9 8866-1964 / (83) 9 9129-7410</t>
  </si>
  <si>
    <t>Pericles e Giliane</t>
  </si>
  <si>
    <t>(83) 9 9972-7798  /  (83) 9 972-6273</t>
  </si>
  <si>
    <t>Felipe Tavares Pereira e Amanda Torres</t>
  </si>
  <si>
    <t>(83) 9 9864-5334 / (83) 9 8703-2792</t>
  </si>
  <si>
    <t>Rodrigo e Emely</t>
  </si>
  <si>
    <t>(83) 98804-3003/98702-0320</t>
  </si>
  <si>
    <t>Gustavo e Izabel</t>
  </si>
  <si>
    <t>(83) 98857-1770</t>
  </si>
  <si>
    <t>Sergio e Rossana</t>
  </si>
  <si>
    <t>(83) 99928-8390/98818-7697</t>
  </si>
  <si>
    <t>Miguel e Marilia</t>
  </si>
  <si>
    <t>(83) 99986-1588/99835-6772</t>
  </si>
  <si>
    <t>Cristiano e Christianne</t>
  </si>
  <si>
    <t>(83) 99944-4400</t>
  </si>
  <si>
    <t>Alencar e Andrea</t>
  </si>
  <si>
    <t>(83) 98881-6321</t>
  </si>
  <si>
    <t>Antonio Cavalcanti de Brito Júnior e Ana Paula Nogueira Dias de Brito</t>
  </si>
  <si>
    <t>83987693178 e 83987738718</t>
  </si>
  <si>
    <t>José Uberto e Ana Coeli</t>
  </si>
  <si>
    <t>83 99630-8276/99630-6121</t>
  </si>
  <si>
    <t>Flawbert e Luciana</t>
  </si>
  <si>
    <t>83 98195-0605/98833-2283</t>
  </si>
  <si>
    <t>Francisco e Vanessa</t>
  </si>
  <si>
    <t>83 98819-6025/99116-2682</t>
  </si>
  <si>
    <t>Walber e Jullyana</t>
  </si>
  <si>
    <t>83 98888-9681/99855-7405</t>
  </si>
  <si>
    <t>Gustavo e Lidiane</t>
  </si>
  <si>
    <t>83 99955-4923/99681-6325</t>
  </si>
  <si>
    <t>Anderson e Rafaella</t>
  </si>
  <si>
    <t>83 98131-5515</t>
  </si>
  <si>
    <t>Marina e Daniel</t>
  </si>
  <si>
    <t>83 98827-1909</t>
  </si>
  <si>
    <t>Tati e Jojó</t>
  </si>
  <si>
    <t>83 98884-8080</t>
  </si>
  <si>
    <t>Charles e Ana Driely</t>
  </si>
  <si>
    <t>83 99952-8507</t>
  </si>
  <si>
    <t>Tavinho e Karol</t>
  </si>
  <si>
    <t>83 99922-0234</t>
  </si>
  <si>
    <t>Aline e Marcelo</t>
  </si>
  <si>
    <t>24 98172-1999</t>
  </si>
  <si>
    <t>Jorge Uberto e Ana Coeli</t>
  </si>
  <si>
    <t>83 99630-8276 / 99630-6121</t>
  </si>
  <si>
    <t>Marina e Danyel</t>
  </si>
  <si>
    <t>83 98195-0605</t>
  </si>
  <si>
    <t>Eduardo e Ianka (Dudu e Ianka)</t>
  </si>
  <si>
    <t>83 999608-7334</t>
  </si>
  <si>
    <t>Isaac e Janaitsa</t>
  </si>
  <si>
    <t>(83) 9 9144-0814</t>
  </si>
  <si>
    <t>montagem enviada 05/08</t>
  </si>
  <si>
    <t xml:space="preserve"> </t>
  </si>
  <si>
    <t>Ana Valéria França</t>
  </si>
  <si>
    <t>(83) 9 9815-9553</t>
  </si>
  <si>
    <t>Sebastião Alves Lins Neto</t>
  </si>
  <si>
    <t>(83) 9 8203-1339</t>
  </si>
  <si>
    <t>Elaine e Marcelo</t>
  </si>
  <si>
    <t>(83) 98781-0076</t>
  </si>
  <si>
    <t>Rodrigo Carneiro e Lucia Jacqueline</t>
  </si>
  <si>
    <t>(83)988683100</t>
  </si>
  <si>
    <t>Isabela Elisa Nunes dos Santos e Fellipe Taffarel Pereira Nunes</t>
  </si>
  <si>
    <t>(83) 9 9342-6912 / (83) 9 8854-7829</t>
  </si>
  <si>
    <t>Bartolomeu e Fabiana Guedes</t>
  </si>
  <si>
    <t>(83) 99363-4000</t>
  </si>
  <si>
    <t>Anyelle Nogueira Souto Maior Guedes e Danilo Antônio de Paiva Guedes</t>
  </si>
  <si>
    <t>(83) 9 9121-8087 / (83) 9 9107-9999</t>
  </si>
  <si>
    <t>Ana Beatriz Lacet Zaccara Andrade (vermelho ano XXVIII)</t>
  </si>
  <si>
    <t>(83) 98161-0055</t>
  </si>
  <si>
    <t>Ana Caroline Ribeiro de Morais Rodrigues (amarelo XXVIII)</t>
  </si>
  <si>
    <t>(83) 98895-5854</t>
  </si>
  <si>
    <t xml:space="preserve">Ana Cecília Candido Cabral de Lacerda </t>
  </si>
  <si>
    <t>(83) 9 9982-3140</t>
  </si>
  <si>
    <t>Ana Hismyne Belém de Lucena Gomes (laranja ano XXVIII)</t>
  </si>
  <si>
    <t>(83) 99203-5267</t>
  </si>
  <si>
    <t xml:space="preserve">André Luiz de Farias Coelho Filho (azul ano XXVIII) </t>
  </si>
  <si>
    <t>(83) 99301-0452</t>
  </si>
  <si>
    <t>Beatriz Carolina de Luna (verde ano XXVIII)</t>
  </si>
  <si>
    <t>(83) 99990-0504</t>
  </si>
  <si>
    <t xml:space="preserve">Carla Vitoria da Silva Soares (azul ano XXVIII) </t>
  </si>
  <si>
    <t>(83) 99890-7655</t>
  </si>
  <si>
    <t>Dinarte Wanderley Guedes Filho</t>
  </si>
  <si>
    <t>Ewerton Termiste Rodrigues</t>
  </si>
  <si>
    <t>(83) 9 8219-0692</t>
  </si>
  <si>
    <t>Felipe Marcell dos Santos Lucena</t>
  </si>
  <si>
    <t>Fernanda Gabriela Lima Araújo</t>
  </si>
  <si>
    <t>Gabriel Costa Figgueiredo Fernandes ( Verde ano XXVIII)</t>
  </si>
  <si>
    <t>(83) 99995-6666</t>
  </si>
  <si>
    <t xml:space="preserve">Gabriel Lira Leite Honorato (amarelo ano XXVIII) </t>
  </si>
  <si>
    <t>(83) 98706-8160</t>
  </si>
  <si>
    <t xml:space="preserve">Gabriela Bastos (laranja ano XXVIII) </t>
  </si>
  <si>
    <t>(83) 98685-3986</t>
  </si>
  <si>
    <t>Gabriela Galdino do Monte Duarte (vermelho ano XXVIII)</t>
  </si>
  <si>
    <t>(83) 98609-6866</t>
  </si>
  <si>
    <t xml:space="preserve">Giovanna Marcia de Arruda Leite ( azul ano XXVIII) </t>
  </si>
  <si>
    <t>(83) 98846-1846</t>
  </si>
  <si>
    <t>Giulianna Vitoria De Arruda Leite (vermelho ano XXVIII)</t>
  </si>
  <si>
    <t>(83) 98757-2233</t>
  </si>
  <si>
    <t xml:space="preserve">Isabela Chacon de Almeida Paiva </t>
  </si>
  <si>
    <t>(83) 99626-5415</t>
  </si>
  <si>
    <t>Ivanna Ramos Lavôr (vermelho ano XXVIII)</t>
  </si>
  <si>
    <t>(83) 98690-7895</t>
  </si>
  <si>
    <t>José Mário de Souza Neto (verde ano XXVIII)</t>
  </si>
  <si>
    <t>(83) 98710-1351</t>
  </si>
  <si>
    <t>Karolina Corta Ribeiro (vermelho ano XXVIII)</t>
  </si>
  <si>
    <t>(83) 99980-5059</t>
  </si>
  <si>
    <t xml:space="preserve">Lara Ribeiro de Moraes Andrade </t>
  </si>
  <si>
    <t>(83) 9 9307-6688</t>
  </si>
  <si>
    <t>Lara Telino Ramalho</t>
  </si>
  <si>
    <t>(83) 98863-7417</t>
  </si>
  <si>
    <t>Lauane Loise Viana Santos ( verde ano XXVIII)</t>
  </si>
  <si>
    <t>Leticia Ellen Cordeiro Lima (verde ano XXVIII)</t>
  </si>
  <si>
    <t>(83) 99656-7662</t>
  </si>
  <si>
    <t>Luís Gabriel Ramalho</t>
  </si>
  <si>
    <t>(83) 9 9690-1881</t>
  </si>
  <si>
    <t>Maria Eduarda Alves Santana (vermelho ano XXVIII)</t>
  </si>
  <si>
    <t>(83) 98612-5194</t>
  </si>
  <si>
    <t>Maria Eduarda de Mello Santos</t>
  </si>
  <si>
    <t>Maria Grazielly da Silva Caetano (laranja ano XXVIII)</t>
  </si>
  <si>
    <t>(83) 99367-7288</t>
  </si>
  <si>
    <t xml:space="preserve">Maria júlia Duarte Barreto (verde ano XXVIII) </t>
  </si>
  <si>
    <t>(83) 98114-2119</t>
  </si>
  <si>
    <t>Maria Lucy Lopes Rodrigues da Silva</t>
  </si>
  <si>
    <t xml:space="preserve">Mariah Costa Soares ( verde ano XXVIII) </t>
  </si>
  <si>
    <t>(83) 99665-7660</t>
  </si>
  <si>
    <t xml:space="preserve">Mateus Moreira de Medeiros </t>
  </si>
  <si>
    <t>(83) 99651-0341</t>
  </si>
  <si>
    <t>Matheus Correia Vidal Ataide (laranja ano XXVIII)</t>
  </si>
  <si>
    <t>(83) 98750-1577</t>
  </si>
  <si>
    <t xml:space="preserve">Pedro Lucas de Carvalho Lau ( verde ano XXVIII) </t>
  </si>
  <si>
    <t>(83) 98604-9132</t>
  </si>
  <si>
    <t xml:space="preserve">Petrônio Gomes de Almeida Filho </t>
  </si>
  <si>
    <t>(83) 99941-4065</t>
  </si>
  <si>
    <t xml:space="preserve">Rafael Kennedy Macedo Lira </t>
  </si>
  <si>
    <t>(83) 99960-2911</t>
  </si>
  <si>
    <t>Suellen de Andrade Barduino Campos</t>
  </si>
  <si>
    <t>(83) 9 9879-1413</t>
  </si>
  <si>
    <t>Thales Germano</t>
  </si>
  <si>
    <t>(83) 9 8796-3296</t>
  </si>
  <si>
    <t xml:space="preserve">Vitoria Gouveia Gomes (laranja ano XXVIII) </t>
  </si>
  <si>
    <t>(83) 99611-8106</t>
  </si>
  <si>
    <t xml:space="preserve">   Maria Clara Ludwig Pequeno (vermelho ano XXVIII)</t>
  </si>
  <si>
    <t>(83) 99920-0196</t>
  </si>
  <si>
    <t xml:space="preserve">Erilane Érica da Silva Leôncio </t>
  </si>
  <si>
    <t>(83) 9 9952-1726</t>
  </si>
  <si>
    <t>Maria Beatriz Lucena</t>
  </si>
  <si>
    <t>(83) 9 8711-0020</t>
  </si>
  <si>
    <t>Evllon Évirg Sá Sousa</t>
  </si>
  <si>
    <t>Thaynara Sarmento Oliveira de Almeida e Salomão Nathan</t>
  </si>
  <si>
    <t>(83) 9 9925-6785 / (83) 9 9375-0570</t>
  </si>
  <si>
    <t>Júlia Jordão e Paulo Ferreira</t>
  </si>
  <si>
    <t>(83) 9 9167-6080 / (83) 9 9903-7683</t>
  </si>
  <si>
    <t>Leonardo Eutério dos Santos e Beatriz Emanuelly de Melo Bezerra</t>
  </si>
  <si>
    <t>(83) 99391-3784</t>
  </si>
  <si>
    <t>Daniel Varandas e Shalon Botelho</t>
  </si>
  <si>
    <t>83999215077 e 83998076550</t>
  </si>
  <si>
    <t>Natália Araújo e Diego</t>
  </si>
  <si>
    <t>83 99307-7095</t>
  </si>
  <si>
    <t xml:space="preserve">     Lucas Melo Nobrega (azul ano XXVIII) e Tatiany de Medeiros Dantas </t>
  </si>
  <si>
    <t xml:space="preserve">             (83) 98801-1745 / (83) 99694-5945</t>
  </si>
  <si>
    <t>Alexandra Martins de Queiroz</t>
  </si>
  <si>
    <t>(83) 9 99280-0232</t>
  </si>
  <si>
    <t>Allan Carlos Araújo</t>
  </si>
  <si>
    <t>(83) 9 9811-9791</t>
  </si>
  <si>
    <t xml:space="preserve">Ana Beatriz Campos </t>
  </si>
  <si>
    <t>(83) 9 96832424</t>
  </si>
  <si>
    <t xml:space="preserve">Ana Luiza Caldas de Medeiros </t>
  </si>
  <si>
    <t>(83) 9 9957-4882</t>
  </si>
  <si>
    <t>Anna Laís Campos Chagas</t>
  </si>
  <si>
    <t>(83) 99361-0412</t>
  </si>
  <si>
    <t>Anna Luisa Perez de Araujo</t>
  </si>
  <si>
    <t>(83) 99969-2974</t>
  </si>
  <si>
    <t>Beatriz D’Ávila</t>
  </si>
  <si>
    <t>(83) 99998-5554</t>
  </si>
  <si>
    <t xml:space="preserve">Bianca Lícia Medeiros </t>
  </si>
  <si>
    <t>(83) 9 9607-2050</t>
  </si>
  <si>
    <t>Danielle Azevedo</t>
  </si>
  <si>
    <t>(83) 99818-3331</t>
  </si>
  <si>
    <t>Danilo Gurjão Ramos</t>
  </si>
  <si>
    <t>(83) 9 9835-5999</t>
  </si>
  <si>
    <t>Evlyn Suylan Gama Silva (laranja ano XXVIII)</t>
  </si>
  <si>
    <t>(83) 98872-6127</t>
  </si>
  <si>
    <t>Gabriel Soares da F. Ataide (laranja ano XXVIII)</t>
  </si>
  <si>
    <t>(83) 99837-6108</t>
  </si>
  <si>
    <t>Geovana Freire Galdino</t>
  </si>
  <si>
    <t>(83) 9 9908-2340</t>
  </si>
  <si>
    <t>Giovana Pimentel Pequeno Rabelo (laranja ano XXVIII)</t>
  </si>
  <si>
    <t>(83) 98715-4720</t>
  </si>
  <si>
    <t xml:space="preserve">  </t>
  </si>
  <si>
    <t xml:space="preserve">Giovanna Beatriz Mota da Silva </t>
  </si>
  <si>
    <t>(83) 9 9619-1476</t>
  </si>
  <si>
    <t>Guilherme Nóbrega</t>
  </si>
  <si>
    <t>(83) 99635-1101</t>
  </si>
  <si>
    <t>Janinne Figueiredo Saraiva</t>
  </si>
  <si>
    <t>(83) 9 8822-3811</t>
  </si>
  <si>
    <t>João Marcelo Gouveia</t>
  </si>
  <si>
    <t>(83) 9 9904-9283</t>
  </si>
  <si>
    <t xml:space="preserve">Jonas Ribeiro Falcão Filho (amarelo ano XXVIII) </t>
  </si>
  <si>
    <t>(83) 99931-0078</t>
  </si>
  <si>
    <t xml:space="preserve">Juliana Vilar de Queiroz Pereira </t>
  </si>
  <si>
    <t>(83) 9 9962-3910</t>
  </si>
  <si>
    <t xml:space="preserve">Larissa Gomes de Moura (amarelo ano XXVIII) </t>
  </si>
  <si>
    <t>(83) 99678-5848</t>
  </si>
  <si>
    <t xml:space="preserve">Leticia Baise Rolina (laranja ano XXVIII) </t>
  </si>
  <si>
    <t>(83) 98205-2188</t>
  </si>
  <si>
    <t xml:space="preserve">Letícia Libório de Araújo Carneiro </t>
  </si>
  <si>
    <t>(83) 9 9115-0648</t>
  </si>
  <si>
    <t xml:space="preserve">Luana Maria Teixeira de Carvalho </t>
  </si>
  <si>
    <t>(83) 99981-3798</t>
  </si>
  <si>
    <t>Maria Eduarda Marodo Veloso Gouveia ( verde ano XXVIII)</t>
  </si>
  <si>
    <t>(83) 99948-8382</t>
  </si>
  <si>
    <t xml:space="preserve">Maria Eduarda Matos Soares </t>
  </si>
  <si>
    <t>(83) 98626-6577</t>
  </si>
  <si>
    <t xml:space="preserve">Maria Eduarda Morais Costa </t>
  </si>
  <si>
    <t>(83) 9 9616-0662</t>
  </si>
  <si>
    <t>Maria Laura de Araujo Roque (vermelho ano XXVIII)</t>
  </si>
  <si>
    <t>(83) 99659-3569</t>
  </si>
  <si>
    <t xml:space="preserve">Maria Luíza Serpa </t>
  </si>
  <si>
    <t>(83) 9 8743-5660</t>
  </si>
  <si>
    <t xml:space="preserve">Maria Victoria Paiva </t>
  </si>
  <si>
    <t>(83) 9 9684-7510</t>
  </si>
  <si>
    <t>Mariana de Araujó Alves (vermelho ano XXVIII)</t>
  </si>
  <si>
    <t>(83) 99982-0216</t>
  </si>
  <si>
    <t xml:space="preserve">Mariana Ramalho </t>
  </si>
  <si>
    <t>(83) 9 9970-7360</t>
  </si>
  <si>
    <t xml:space="preserve">Marilia Cristina Rodrigues Lima de Farias (laranja ano XXVIII) </t>
  </si>
  <si>
    <t>(83) 99982-5277</t>
  </si>
  <si>
    <t xml:space="preserve">Paulla Romão Dias de Sousa </t>
  </si>
  <si>
    <t>(83) 9 9939-0471</t>
  </si>
  <si>
    <t>Rafael Ayres Costa</t>
  </si>
  <si>
    <t>83 98638-8296</t>
  </si>
  <si>
    <t>Renato Bezerra de Melo</t>
  </si>
  <si>
    <t>Thalita Tayana Dantas de Sousa (laranja ano XXVIII)</t>
  </si>
  <si>
    <t>(83) 99649-8531</t>
  </si>
  <si>
    <t>Yasmin Oliveira de Mendonça</t>
  </si>
  <si>
    <t xml:space="preserve">Jullya Vitória Pinheiro de Castro Ribeiro </t>
  </si>
  <si>
    <t>(83) 9 9684-7988</t>
  </si>
  <si>
    <t>Maria Eduarda Matos Soares</t>
  </si>
  <si>
    <t>Emmily Neves de Araújo Pereira</t>
  </si>
  <si>
    <t>(83) 9 9892-7283</t>
  </si>
  <si>
    <t xml:space="preserve">Monaliza e Guilibaldo </t>
  </si>
  <si>
    <t>(85) 9 9711-8884 / (83) 9 8638-9141</t>
  </si>
  <si>
    <t>c</t>
  </si>
  <si>
    <t>nº de encontristas XXVI: 7</t>
  </si>
  <si>
    <t xml:space="preserve">Iaelly Lopes Gadelha  </t>
  </si>
  <si>
    <t>(83) 9 9674-7663</t>
  </si>
  <si>
    <t>Pedro Ivo Tavares Trindade</t>
  </si>
  <si>
    <t>(83) 999954-2705</t>
  </si>
  <si>
    <t>Rafael Oliveira de Carvalho e Nathália Marina Plácido</t>
  </si>
  <si>
    <t>(83) 9 8760-6266</t>
  </si>
  <si>
    <t xml:space="preserve">Dandara e Eltton </t>
  </si>
  <si>
    <t>(83) 9 8703-6860 / (83) 9 9167-3733</t>
  </si>
  <si>
    <t xml:space="preserve">      Júlia Machado Mariz Marques Gomes (vermelho ano XXVIII)</t>
  </si>
  <si>
    <t xml:space="preserve">                    (83) 98671-9254</t>
  </si>
  <si>
    <t xml:space="preserve">Adam Vilar        </t>
  </si>
  <si>
    <t>(83) 99860-0827</t>
  </si>
  <si>
    <t>Adrya Catharinne Santos Sousa da Silva</t>
  </si>
  <si>
    <t xml:space="preserve">Amanda Cesarina Soares </t>
  </si>
  <si>
    <t>(83) 9 9621-0011</t>
  </si>
  <si>
    <t>Ana Carolina Souza Diniz</t>
  </si>
  <si>
    <t>Carolina Nunes Peixoto Ribeiro Villares</t>
  </si>
  <si>
    <t>(83) 9 9911-6782</t>
  </si>
  <si>
    <t>Cecilia Correia Vidal Ataide (verde ano XXVIII)</t>
  </si>
  <si>
    <t>(83) 98776-8617</t>
  </si>
  <si>
    <t>Davi Borges Soares</t>
  </si>
  <si>
    <t>(83) 9 8889-0508</t>
  </si>
  <si>
    <t>Davi Lacerda Brasileiro Luckwu (verde ano XXVIII)</t>
  </si>
  <si>
    <t>(83) 98707-5408</t>
  </si>
  <si>
    <t xml:space="preserve">Emanoel Vitor Alves Da Silva (azul ano XXVIII) </t>
  </si>
  <si>
    <t>(83) 99980-1926</t>
  </si>
  <si>
    <t>Erika Rachel Cunha Lins</t>
  </si>
  <si>
    <t>(83) 9 8834-7332</t>
  </si>
  <si>
    <t>Fernando José Gondim de Motto Neto (amarelo ano XXVIII)</t>
  </si>
  <si>
    <t>(81) 99663-5570</t>
  </si>
  <si>
    <t>Flavia Brasil Claudino Medeiros</t>
  </si>
  <si>
    <t>Helena Teópilo Mendonça (laranja ano XXVIII)</t>
  </si>
  <si>
    <t>(88) 99924-0102</t>
  </si>
  <si>
    <t xml:space="preserve">João Guilherme Rodrigues Queiroz </t>
  </si>
  <si>
    <t>(83) 9 8140-7011</t>
  </si>
  <si>
    <t>João Leôncio</t>
  </si>
  <si>
    <t>(83) 996379759</t>
  </si>
  <si>
    <t>João Paulo da Silva Lucena dos Santos</t>
  </si>
  <si>
    <t xml:space="preserve">José Gustavo de Aguiar Lopes (amarelo ano XXVIII) </t>
  </si>
  <si>
    <t>(83) 99174-4040</t>
  </si>
  <si>
    <t>José lins de Albuquerque neto</t>
  </si>
  <si>
    <t>Karina Pacheco</t>
  </si>
  <si>
    <t>(83) 9 8758-2442</t>
  </si>
  <si>
    <t>Kyssia Hyllen De Araujo Angelo (verde ano XXVIII)</t>
  </si>
  <si>
    <t>(83) 99617-0000</t>
  </si>
  <si>
    <t>Lara Leite de Araujo (vermelho ano XXVIII)</t>
  </si>
  <si>
    <t>(83) 99939-2495</t>
  </si>
  <si>
    <t>Larissa Maria</t>
  </si>
  <si>
    <t>(84) 9 9806-6186</t>
  </si>
  <si>
    <t>Laura Oliveira Leite</t>
  </si>
  <si>
    <t>(83) 9 8897-1363</t>
  </si>
  <si>
    <t>Lívia Ramalho</t>
  </si>
  <si>
    <t>(83) 99632-0105</t>
  </si>
  <si>
    <t>Lorena Agra da Cunha Lima</t>
  </si>
  <si>
    <t>Lucas de Brito Machado ( amarelo ano XXVIII)</t>
  </si>
  <si>
    <t>(83) 99125-9753</t>
  </si>
  <si>
    <t>Luiz Henrique Paiva Quaresma (laranja ano XXVIII)</t>
  </si>
  <si>
    <t>(83) 99124-8686</t>
  </si>
  <si>
    <t>Luma Gabrielle de Queiroz Araujo (laranja ano XXVIII)</t>
  </si>
  <si>
    <t>(83) 99614-4876</t>
  </si>
  <si>
    <t xml:space="preserve">Marcelo Werner Pedroda </t>
  </si>
  <si>
    <t>(83) 99359-6265</t>
  </si>
  <si>
    <t xml:space="preserve">Maria Clara Delgado Dias (verde ano XXVIII) </t>
  </si>
  <si>
    <t>(83) 99117-6006</t>
  </si>
  <si>
    <t>Maria Eduarda de Andrade A. Ramalho (vermelho ano XXVIII)</t>
  </si>
  <si>
    <t>(83) 99661-0628</t>
  </si>
  <si>
    <t xml:space="preserve">Maria Luiza Carneiro Maia Mariz </t>
  </si>
  <si>
    <t>(83) 99610-4073</t>
  </si>
  <si>
    <t xml:space="preserve">Mariana Ferreira Viana (azul ano XXVIII) </t>
  </si>
  <si>
    <t>(83) 98224-4864</t>
  </si>
  <si>
    <t xml:space="preserve">Marília Silvana Cavalcante (amarelo ano XXVIII) </t>
  </si>
  <si>
    <t>(83) 99881-7837</t>
  </si>
  <si>
    <t xml:space="preserve">Matheus Alencar S. Vasconcelos (azul ano XXVIII) </t>
  </si>
  <si>
    <t>(83) 99914- 5334</t>
  </si>
  <si>
    <t xml:space="preserve">Nayara Bezerra Pereira (laranja ano XXVIII) </t>
  </si>
  <si>
    <t>(83) 99968-2329</t>
  </si>
  <si>
    <t>Rafael Magno Evaristo Ferraz</t>
  </si>
  <si>
    <t>Raíssa Lima de Macedo</t>
  </si>
  <si>
    <t>83 996840539</t>
  </si>
  <si>
    <t>Rougger Lovin Guerra Neto (laranja ano XXVIII)</t>
  </si>
  <si>
    <t>(83) 99635-3706</t>
  </si>
  <si>
    <t xml:space="preserve">Thais Alves Correia Lima (azul ano XXVIII) </t>
  </si>
  <si>
    <t>(83) 99816-7503</t>
  </si>
  <si>
    <t xml:space="preserve">Thais Lins De Figueiredo (azul ano XXVIII) </t>
  </si>
  <si>
    <t>(83) 98821-2606</t>
  </si>
  <si>
    <r>
      <rPr>
        <sz val="12"/>
        <color theme="1"/>
        <rFont val="Arial"/>
      </rPr>
      <t xml:space="preserve"> </t>
    </r>
    <r>
      <rPr>
        <sz val="12"/>
        <color theme="1"/>
        <rFont val="Arial"/>
      </rPr>
      <t>Marco Aurelio Vasconcelos de Melo (amarelo ano XXVIII)</t>
    </r>
  </si>
  <si>
    <t xml:space="preserve"> (83) 99921-7893 </t>
  </si>
  <si>
    <t xml:space="preserve">           H</t>
  </si>
  <si>
    <t xml:space="preserve">montado depois, pq passou batido </t>
  </si>
  <si>
    <t>Henrique Batista</t>
  </si>
  <si>
    <t>(83) 99964-1975</t>
  </si>
  <si>
    <t>Camille Lima</t>
  </si>
  <si>
    <t>(83) 9 8787-2818</t>
  </si>
  <si>
    <t>Marcio e Martha</t>
  </si>
  <si>
    <t>(83) 99983-4308</t>
  </si>
  <si>
    <t>Carlos e Rosangela</t>
  </si>
  <si>
    <t>8399622-1928 e 83996231933</t>
  </si>
  <si>
    <t xml:space="preserve">Aluska Thayuanne </t>
  </si>
  <si>
    <t>(83) 9 8202-4836</t>
  </si>
  <si>
    <t xml:space="preserve">Ana Beatriz Trigueiro Bezerra  </t>
  </si>
  <si>
    <t>(83) 9 8714-6391</t>
  </si>
  <si>
    <t xml:space="preserve">Ana Karolina Medeiros Morais </t>
  </si>
  <si>
    <t>(83) 9 8817-1761</t>
  </si>
  <si>
    <t>Bianca Gonçalves de Oliveira Antunes</t>
  </si>
  <si>
    <t>(83) 9 8611-1726</t>
  </si>
  <si>
    <t>Breno Serafim Gomes</t>
  </si>
  <si>
    <t>(83) 9 9622-9483</t>
  </si>
  <si>
    <t xml:space="preserve">Cairo Feitosa de Carvalho </t>
  </si>
  <si>
    <t>(83) 9 8875-4816</t>
  </si>
  <si>
    <t>Carine Emanuelle de Lima Ribeiro</t>
  </si>
  <si>
    <t>Danyllo Eben Marques de Melo</t>
  </si>
  <si>
    <t>(84) 9 8811-1003</t>
  </si>
  <si>
    <t>David Lira Leite Honorato</t>
  </si>
  <si>
    <t>(83) 9 9683-3553</t>
  </si>
  <si>
    <t xml:space="preserve">Emmanoel Victor Leite Brasilino de Abrantes </t>
  </si>
  <si>
    <t>(83) 9 9302-7110</t>
  </si>
  <si>
    <t xml:space="preserve">Francisco José Freitas Martins Jr </t>
  </si>
  <si>
    <t>(83) 9 9990-6526</t>
  </si>
  <si>
    <t xml:space="preserve">Jackeline Souza Almeida (amarelo ano XXVIII) </t>
  </si>
  <si>
    <t>(85) 99219-6619</t>
  </si>
  <si>
    <t xml:space="preserve">João Inocêncio filho </t>
  </si>
  <si>
    <t>(83) 9 8726-2626</t>
  </si>
  <si>
    <t xml:space="preserve">João Paulo </t>
  </si>
  <si>
    <t xml:space="preserve">João Pedro Carvalho </t>
  </si>
  <si>
    <t>(83) 9 9166-8458</t>
  </si>
  <si>
    <t>Joaquim Serafim Rodrigues da Silva Neto</t>
  </si>
  <si>
    <t>(83) 9 8793-9345</t>
  </si>
  <si>
    <t xml:space="preserve">Karoline Eugênio Soares Lins </t>
  </si>
  <si>
    <t>(83) 9 9635-5227</t>
  </si>
  <si>
    <t xml:space="preserve">Lara Mendonça Maia Wanderley Ventura Paulo </t>
  </si>
  <si>
    <t>(83) 9 9625-3839</t>
  </si>
  <si>
    <t>Leon de Lima Cirne</t>
  </si>
  <si>
    <t>Leonardo Arnaud de Lucena lopes</t>
  </si>
  <si>
    <t>Leticia Karla Marques de Lima</t>
  </si>
  <si>
    <t>Liliane Rodrigues</t>
  </si>
  <si>
    <t>(83) 99135-4994</t>
  </si>
  <si>
    <t>Lorena Kelly Lemos Bonifácio</t>
  </si>
  <si>
    <t>(83) 9 9676-7941</t>
  </si>
  <si>
    <t>Luan de Lima Cirne</t>
  </si>
  <si>
    <t>(83) 9 9881-7006</t>
  </si>
  <si>
    <t xml:space="preserve">Lucas Arruda Sousa </t>
  </si>
  <si>
    <t>(83) 9 9838-6862</t>
  </si>
  <si>
    <t>Lucas Fernandes da Silva Araújo</t>
  </si>
  <si>
    <t>(83) 98862-6757</t>
  </si>
  <si>
    <t>Luis Henrique Amorim de Paiva</t>
  </si>
  <si>
    <t>(83) 9 9965-3941</t>
  </si>
  <si>
    <t xml:space="preserve">Maria Clara Genú de Araújo Ferreira </t>
  </si>
  <si>
    <t>(87) 9 9652-8007</t>
  </si>
  <si>
    <t>Maria Fernanda Farias</t>
  </si>
  <si>
    <t>(71) 999461129</t>
  </si>
  <si>
    <t>Maria Júlia da Nóbrega Travassos</t>
  </si>
  <si>
    <t>(83) 99129-3143</t>
  </si>
  <si>
    <t>Maria Solange Ribeiro de Almeida</t>
  </si>
  <si>
    <t xml:space="preserve">(83) 9 8787-4911 </t>
  </si>
  <si>
    <t xml:space="preserve">Nicolle Martins Carneiro </t>
  </si>
  <si>
    <t>(83) 9 8790-8756</t>
  </si>
  <si>
    <t>Orleide Cristine Alves de Melo</t>
  </si>
  <si>
    <t>Pedro Jorge Fernandes (vermelho ano XXVIII)</t>
  </si>
  <si>
    <t>(83) 99869-0186</t>
  </si>
  <si>
    <t>Pedro Mendes Trajano de Lousa (verde ano XXVIII)</t>
  </si>
  <si>
    <t>(83) 99344-3572</t>
  </si>
  <si>
    <t>Pedro Nunes dos Santos Junior</t>
  </si>
  <si>
    <t>(83) 99869‑9550</t>
  </si>
  <si>
    <t>Rafael Belmiro Gouveia</t>
  </si>
  <si>
    <t>(83) 99948-5507</t>
  </si>
  <si>
    <t>Ricardo Magalhães</t>
  </si>
  <si>
    <t>(83) 99976-1151</t>
  </si>
  <si>
    <t xml:space="preserve">Tania Zeuly Cabral Vetomalor (amarelo ano XXVIII) </t>
  </si>
  <si>
    <t>(83) 98881-1301</t>
  </si>
  <si>
    <t>Taynna Oliveira Machado</t>
  </si>
  <si>
    <t>(83) 9 9831-2024</t>
  </si>
  <si>
    <t>Yasmin Lima Gomes</t>
  </si>
  <si>
    <t>(83) 98666-5557</t>
  </si>
  <si>
    <t xml:space="preserve">Júlia de Freitas Barros </t>
  </si>
  <si>
    <t>(83) 9 8117-1365</t>
  </si>
  <si>
    <t>Ingrid Rafaely Castelo Pinheiro</t>
  </si>
  <si>
    <t>(83) 9 9379-9148</t>
  </si>
  <si>
    <t>Fernanda de Oliveira Gonçalves e Gelsivan Alves Batista</t>
  </si>
  <si>
    <t>(83) 988592118 / (83) 999247103</t>
  </si>
  <si>
    <t xml:space="preserve"> Paulo Borges Coelho de Miranda Freire</t>
  </si>
  <si>
    <t xml:space="preserve">(83) 998029614
</t>
  </si>
  <si>
    <t xml:space="preserve">Priscilla Marques 
</t>
  </si>
  <si>
    <t>(83) 98844‑5380</t>
  </si>
  <si>
    <t xml:space="preserve">Carlos Lucas </t>
  </si>
  <si>
    <t>(83) 99963‑7164‬</t>
  </si>
  <si>
    <t>Vitória Beltrão</t>
  </si>
  <si>
    <t>(83) 988312440</t>
  </si>
  <si>
    <t>Amanda Guedes</t>
  </si>
  <si>
    <t>(83) 99142-1866</t>
  </si>
  <si>
    <t>nº de encontristas XXVI: 6</t>
  </si>
  <si>
    <t>Thyago Santos</t>
  </si>
  <si>
    <t>(83) 99901-1933</t>
  </si>
  <si>
    <t xml:space="preserve">Maria Eduarda Araújo Toscana de Moraes </t>
  </si>
  <si>
    <t>(83) 99380-5050</t>
  </si>
  <si>
    <t>Renata Lacerda e Alexandre Madruga</t>
  </si>
  <si>
    <t>(83) 9 9943-4766 / (83) 9 8795-2161</t>
  </si>
  <si>
    <t>Maria Gabriela Moraes e Alisson Almeida</t>
  </si>
  <si>
    <t>(83) 9 9647-2354</t>
  </si>
  <si>
    <t>Marcia Alencar e Paulo Cavalcanti</t>
  </si>
  <si>
    <t>(83) 99841-7153 / 99198-0983</t>
  </si>
  <si>
    <t xml:space="preserve">   Marilia Andrade Borges (vermelho ano XXVIII)</t>
  </si>
  <si>
    <t xml:space="preserve"> (83) 99943-1297</t>
  </si>
  <si>
    <t>Afra Rayssa Andrade da Silva Honorio (amarelo ano XXVIII)</t>
  </si>
  <si>
    <t>(83) 98722-5284</t>
  </si>
  <si>
    <t>Amanda Lacerda Andrade Batista de Sá (vermelho ano -XXVIII)</t>
  </si>
  <si>
    <t>(83) 99928-6020</t>
  </si>
  <si>
    <t>Anna Laura Dias</t>
  </si>
  <si>
    <t>(83) 98818-1343</t>
  </si>
  <si>
    <t xml:space="preserve">Bianca Lira Cordeiro Tavares </t>
  </si>
  <si>
    <t>(83) 9 8805 - 5135</t>
  </si>
  <si>
    <t xml:space="preserve">Brenda Luna Freire Barros (azul ano XXVIII) </t>
  </si>
  <si>
    <t>(83) 99914-0820</t>
  </si>
  <si>
    <t>Clara Laiza Silva</t>
  </si>
  <si>
    <t>(83) 9 9883-1053</t>
  </si>
  <si>
    <t>Gabriel Pimentel</t>
  </si>
  <si>
    <t>(83) 9 9659-0311</t>
  </si>
  <si>
    <t>Geovanny Iuri Silva de Moraes</t>
  </si>
  <si>
    <t>(83) 9 8743-8902</t>
  </si>
  <si>
    <t>Giovana de Souza Antoniolli (laranja ano XXVIII)</t>
  </si>
  <si>
    <t>(83) 98603-9657</t>
  </si>
  <si>
    <t>Hugo Miranda</t>
  </si>
  <si>
    <t xml:space="preserve">Iasmim Crispim Pombo </t>
  </si>
  <si>
    <t>(83) 98769-8749</t>
  </si>
  <si>
    <t xml:space="preserve">Iasmin Gomes da Silva Castro </t>
  </si>
  <si>
    <t>(83) 9 9600-7603</t>
  </si>
  <si>
    <t xml:space="preserve">Igor Bremenkamp Silva (laranja ano XXVIII) </t>
  </si>
  <si>
    <t>(83) 99875-5363</t>
  </si>
  <si>
    <t>Isadora Medeiros Dantas (verde ano XXVIII)</t>
  </si>
  <si>
    <t>(84) 99858-6281</t>
  </si>
  <si>
    <t>José Jhenikártery Maia de Oliveira (amarelo ano XXVIII)</t>
  </si>
  <si>
    <t>(83) 99696-0759</t>
  </si>
  <si>
    <t>Julio Cesar Soares de Loelis ( amarelo ano XXVIII)</t>
  </si>
  <si>
    <t>(83) 98623-8878</t>
  </si>
  <si>
    <t xml:space="preserve">Marcella Milanês Patrício </t>
  </si>
  <si>
    <t>(83) 9 9943-3703</t>
  </si>
  <si>
    <t xml:space="preserve">Maria Helena Cunha do Nascimento </t>
  </si>
  <si>
    <t>(83) 99679-9349</t>
  </si>
  <si>
    <t xml:space="preserve">Mayra Rossana Souto </t>
  </si>
  <si>
    <t>(83) 9 9602-3389</t>
  </si>
  <si>
    <t>Paula Karenina</t>
  </si>
  <si>
    <t>(84) 9 9606-0436</t>
  </si>
  <si>
    <t>Raian Luna</t>
  </si>
  <si>
    <t>(83) 99634-0724</t>
  </si>
  <si>
    <t>Rairon Luna</t>
  </si>
  <si>
    <t>(83) 9 9634-0024</t>
  </si>
  <si>
    <t xml:space="preserve">Rodrigo Loyola de Souza Zumba </t>
  </si>
  <si>
    <t>(83) 9 9999-8064</t>
  </si>
  <si>
    <t xml:space="preserve">Rubia Vitoria Maria Pontes (azul ano XXVIII) </t>
  </si>
  <si>
    <t>(83) 99346-3823</t>
  </si>
  <si>
    <t xml:space="preserve">Maria Eduarda Aragão Chaves </t>
  </si>
  <si>
    <t>(83) 98139-0182</t>
  </si>
  <si>
    <t xml:space="preserve">Giulia Beatriz Mota da Silva </t>
  </si>
  <si>
    <t>(83) 9 9830-0948</t>
  </si>
  <si>
    <t xml:space="preserve">Gustavo de Andrade Muniz </t>
  </si>
  <si>
    <t>(83) 98620-6040</t>
  </si>
  <si>
    <t xml:space="preserve">Clarice Bonifácio Chaves </t>
  </si>
  <si>
    <t>(83) 9 9823-2848</t>
  </si>
  <si>
    <t>Maria Betânia e Osório Adroaldo</t>
  </si>
  <si>
    <t>(83) 9 8886-7544 / (83) 9 8886-7543</t>
  </si>
  <si>
    <t>Thayna Viegas e João Carlos</t>
  </si>
  <si>
    <t>(83) 9 9605-6662 / (83) 9 8862-8221</t>
  </si>
  <si>
    <t>Adriano Sergio e Natalia</t>
  </si>
  <si>
    <t>8399606-6000</t>
  </si>
  <si>
    <t xml:space="preserve">Aissa Hanna Cavalcanti de Lucena </t>
  </si>
  <si>
    <t>(83) 98153-8084</t>
  </si>
  <si>
    <t xml:space="preserve">Ana Luiza Viana Santos </t>
  </si>
  <si>
    <t>(83) 99138-0863</t>
  </si>
  <si>
    <t>André Felipe Santos Alexandre</t>
  </si>
  <si>
    <t>(83) 9 8791-7231</t>
  </si>
  <si>
    <t>Arthur de Souza Martins Netto</t>
  </si>
  <si>
    <t>Emanuella Ribeiro Paes Do Nascimento</t>
  </si>
  <si>
    <t>83 9 99848-8333</t>
  </si>
  <si>
    <t xml:space="preserve">Enaele Da Silva Fernandes (azul ano XXVIII) </t>
  </si>
  <si>
    <t>(83) 99119-5494</t>
  </si>
  <si>
    <t>Gabriela Gomes Cavalcanti de Alencar (amarelo ano XXVIII)</t>
  </si>
  <si>
    <t>(83) 99888-5704</t>
  </si>
  <si>
    <t>Henrique Lins</t>
  </si>
  <si>
    <t>(83) 9 9404-9154</t>
  </si>
  <si>
    <t>Isaac Ferreira</t>
  </si>
  <si>
    <t>(83) 9 9985-7802</t>
  </si>
  <si>
    <t>Isabel Maria Teixeira Patricio</t>
  </si>
  <si>
    <t xml:space="preserve">Iuri Andrade Sampaio Felipe </t>
  </si>
  <si>
    <t>(88) 9 9655-1630</t>
  </si>
  <si>
    <t xml:space="preserve">Izabella Silveira Lira de Oliveira </t>
  </si>
  <si>
    <t>(83) 9 9918-2044</t>
  </si>
  <si>
    <t>Jacqueline de Brito Rosendo</t>
  </si>
  <si>
    <t>(83) 9 8889-1565</t>
  </si>
  <si>
    <t>João Batista Leite Alves</t>
  </si>
  <si>
    <t>(83) 99644-1831</t>
  </si>
  <si>
    <t>João Daniel Cartaxo Delgado (vermelho ano XXVIII)</t>
  </si>
  <si>
    <t>(83) 998350881</t>
  </si>
  <si>
    <t xml:space="preserve">João Pedro de Souza Barreto </t>
  </si>
  <si>
    <t>(83) 9 8835-7615</t>
  </si>
  <si>
    <t>João Vittor Alves</t>
  </si>
  <si>
    <t>(83) 99144-4448</t>
  </si>
  <si>
    <t>Kattyane aranha Correia Lima</t>
  </si>
  <si>
    <t xml:space="preserve">Leonardo Sobrinho </t>
  </si>
  <si>
    <t>(83) 9 9877-7776</t>
  </si>
  <si>
    <t>Lucas Ayres</t>
  </si>
  <si>
    <t>(83) 99998-3121</t>
  </si>
  <si>
    <t>Manuela Miranda</t>
  </si>
  <si>
    <t xml:space="preserve">Maria Clara Oliveira Ferro </t>
  </si>
  <si>
    <t>(83) 9 9924-1616</t>
  </si>
  <si>
    <t>Maria Edilma Pedrosa</t>
  </si>
  <si>
    <t>(83) 99876-1668</t>
  </si>
  <si>
    <t>Maria Luiza Carreiro Medeiros Diogenes Freitas</t>
  </si>
  <si>
    <t xml:space="preserve">Milton Ramos Bezerra Neto (amarelo ano XXVIII) </t>
  </si>
  <si>
    <t>(87) 99988-5140</t>
  </si>
  <si>
    <t xml:space="preserve">Otávio Mariz Maia Neto </t>
  </si>
  <si>
    <t>(83) 9 9990-5651</t>
  </si>
  <si>
    <t>Rafaela Andrade</t>
  </si>
  <si>
    <t>(83) 99894-4314</t>
  </si>
  <si>
    <t>Rebeka Ellen de Alencar Bezerra</t>
  </si>
  <si>
    <t>88 9 8888-9202</t>
  </si>
  <si>
    <t>Roberto Izídio</t>
  </si>
  <si>
    <t>(83) 98112-2003</t>
  </si>
  <si>
    <t>Samyra Pinheiro</t>
  </si>
  <si>
    <t>83 98714-5143</t>
  </si>
  <si>
    <t xml:space="preserve">Sara Sanvido (verde ano XXVIII) </t>
  </si>
  <si>
    <t>(83) 98184-4480</t>
  </si>
  <si>
    <t xml:space="preserve">Shara Blandu Vieira De Lima (azul ano XXVIII) </t>
  </si>
  <si>
    <t>(83) 99748-4073</t>
  </si>
  <si>
    <t xml:space="preserve">Vanessa Oliveira Nunes De Farias (azul ano XXVIII) </t>
  </si>
  <si>
    <t>(83) 99346-2457</t>
  </si>
  <si>
    <t>Vitor Lira</t>
  </si>
  <si>
    <t>(83) 99690-8222</t>
  </si>
  <si>
    <t>Maria Luiza Carvalho de Queiroz Teixeira</t>
  </si>
  <si>
    <t>(83) 9 8881-0122</t>
  </si>
  <si>
    <r>
      <rPr>
        <b/>
        <sz val="12"/>
        <color theme="1"/>
        <rFont val="Arial"/>
      </rPr>
      <t xml:space="preserve"> </t>
    </r>
    <r>
      <rPr>
        <sz val="12"/>
        <color theme="1"/>
        <rFont val="Arial"/>
      </rPr>
      <t>Paula Fernanda</t>
    </r>
  </si>
  <si>
    <t>(83) 98705-4951</t>
  </si>
  <si>
    <t xml:space="preserve">estava montada na cozinha, porem tinha problemas com a coordenadora da cozinha </t>
  </si>
  <si>
    <t>nº de encontristas XXIV: 5</t>
  </si>
  <si>
    <t xml:space="preserve">Joana Frade de Holanda </t>
  </si>
  <si>
    <t>(81) 9 9845-3613</t>
  </si>
  <si>
    <t>Thiago Macedo Negreiros</t>
  </si>
  <si>
    <t>(83) 99627-2749</t>
  </si>
  <si>
    <t>Edson Paula e Silvia Maria</t>
  </si>
  <si>
    <t>83991005281 e 83991052325</t>
  </si>
  <si>
    <t>Danielle Abrantes Sarmento e Rhafael Sarmento</t>
  </si>
  <si>
    <t>83996555291 e 83987300469</t>
  </si>
  <si>
    <t>Araken Barbosa de Farias Neto e Silvia Rebeca Leal Rodrigues</t>
  </si>
  <si>
    <t>(83) 9 9991-0636 / (83) 99984-8574</t>
  </si>
  <si>
    <t xml:space="preserve"> Namyres Arcela de Lima </t>
  </si>
  <si>
    <t>(83) 9 8798-0219</t>
  </si>
  <si>
    <t>Adalberto José Leopoldino de Almeida Vasconcelos</t>
  </si>
  <si>
    <t xml:space="preserve">Ana Beatriz Alencar Santana </t>
  </si>
  <si>
    <t>(83) 9 8800-0311</t>
  </si>
  <si>
    <t>Ana Rosa Carvalho Bizerra Amorim (vermelho ano XXVIII)</t>
  </si>
  <si>
    <t>(83) 98128-0515</t>
  </si>
  <si>
    <t xml:space="preserve">Ana Sofia Arraes de Medeiros </t>
  </si>
  <si>
    <t>(84) 99691-9355</t>
  </si>
  <si>
    <t>Bianca de Lima Monteiro</t>
  </si>
  <si>
    <t>(83) 9 9354-5474</t>
  </si>
  <si>
    <t>Bianca Freire Trajano da Costa</t>
  </si>
  <si>
    <t>(83) 9 9999-2894</t>
  </si>
  <si>
    <t xml:space="preserve">Caio Cesar Ribeiro de Souza </t>
  </si>
  <si>
    <t>(83) 9 8839-4149</t>
  </si>
  <si>
    <t>Camila Lima de Oliveira</t>
  </si>
  <si>
    <t>(83) 9 9959-8561</t>
  </si>
  <si>
    <t xml:space="preserve">Cláudia Luanne Andrade Maia </t>
  </si>
  <si>
    <t>(83) 9 8803-6835</t>
  </si>
  <si>
    <t xml:space="preserve">Fernanda Wandeiloy Lucio (amarelo ano XXVIII) </t>
  </si>
  <si>
    <t>(84) 99928-0602</t>
  </si>
  <si>
    <t>Gabriel José Ribeiro Bezerra</t>
  </si>
  <si>
    <t>Gabriel Lisboa Alves Da Fonseca (azul ano XXVIII)</t>
  </si>
  <si>
    <t>(83) 99175-1448</t>
  </si>
  <si>
    <t>Gabriela Simões Sousa</t>
  </si>
  <si>
    <t>83 988826685</t>
  </si>
  <si>
    <t xml:space="preserve">Gustavo Cavalcante Rodrigues (azul ano XXVIII) </t>
  </si>
  <si>
    <t>(83) 98725-8180</t>
  </si>
  <si>
    <t xml:space="preserve">Ingrid Maria Lacerda de Castro </t>
  </si>
  <si>
    <t>(83) 9 9134-7143</t>
  </si>
  <si>
    <t xml:space="preserve">Jackson Fernandes Aragão Terceiro </t>
  </si>
  <si>
    <t>(83) 9 8680-2809</t>
  </si>
  <si>
    <t>João Paulo Genu de Araújo Ferreira</t>
  </si>
  <si>
    <t>(83) 9 9934-4471</t>
  </si>
  <si>
    <t>José Roberto Ferreira Soares neto</t>
  </si>
  <si>
    <t>83 98746-2020</t>
  </si>
  <si>
    <t>Laryssa Fernandes da Silva (Laranja Ano XXVII)</t>
  </si>
  <si>
    <t>(83) 9 9683-2271</t>
  </si>
  <si>
    <t xml:space="preserve">Lilian Ventura de Melo </t>
  </si>
  <si>
    <t>(83) 9 9618-2202</t>
  </si>
  <si>
    <t xml:space="preserve">Loris Ashi Araujo (laranja ano XXVIII) </t>
  </si>
  <si>
    <t>(83) 98832-6910</t>
  </si>
  <si>
    <t xml:space="preserve">Maria Clara Moraes </t>
  </si>
  <si>
    <t>(83) 9 9829-1389</t>
  </si>
  <si>
    <t>Maria Eduarda Navarro</t>
  </si>
  <si>
    <t>55 83 8173-9882</t>
  </si>
  <si>
    <t>Maria Eduarda Araújo de Sales Mendes (laranja ano XXVIII)</t>
  </si>
  <si>
    <t>(83) 98634-1666</t>
  </si>
  <si>
    <t>Mariana Monteiro Linhares</t>
  </si>
  <si>
    <t>83 9 9947-5260</t>
  </si>
  <si>
    <t>Mayara de Lourdes Ramos Barbosa</t>
  </si>
  <si>
    <t xml:space="preserve">Natália Ferreira de Sousa </t>
  </si>
  <si>
    <t>(83) 9 9683-8139</t>
  </si>
  <si>
    <t>Orhana Maria</t>
  </si>
  <si>
    <t>(83) 99338-0303</t>
  </si>
  <si>
    <t xml:space="preserve">           M</t>
  </si>
  <si>
    <t>Pedro Leitão Medeiros</t>
  </si>
  <si>
    <t>(83) 9 9128-1815</t>
  </si>
  <si>
    <t>Thereza Cristina Barbosa Viana Santos</t>
  </si>
  <si>
    <t>(83) 987544549</t>
  </si>
  <si>
    <t>nº de encontristas XXIV: 8</t>
  </si>
  <si>
    <t>Bianca Ventura de Melo</t>
  </si>
  <si>
    <t>(83) 9 9649-4567</t>
  </si>
  <si>
    <t>Douglas Pereira de Moura Filho</t>
  </si>
  <si>
    <t>(83) 9 9636-1289</t>
  </si>
  <si>
    <t xml:space="preserve">Karina Ruiz e Leandro Paiva </t>
  </si>
  <si>
    <t>(83) 9 8715-3822 / (83) 9 9945-0701</t>
  </si>
  <si>
    <t>João Victor Peixoto Soares e Kareen Elleen</t>
  </si>
  <si>
    <t xml:space="preserve">Rafael Alves e talyta </t>
  </si>
  <si>
    <t>83 9 8770-7721</t>
  </si>
  <si>
    <t xml:space="preserve">Amanda de Carvalho Taveira </t>
  </si>
  <si>
    <t xml:space="preserve">(83) 9 8881-9523 </t>
  </si>
  <si>
    <t xml:space="preserve">Ana Bárbara da Nóbrega </t>
  </si>
  <si>
    <t>(83) 9 9134-0137</t>
  </si>
  <si>
    <t>Ana Carolina Correia Magalhaes</t>
  </si>
  <si>
    <t>Arthur Honório Guedes Pinheiro</t>
  </si>
  <si>
    <t>(83) 9 9803-9494</t>
  </si>
  <si>
    <t>Arthur Virgílio Félix De Mendonça Ribeiro</t>
  </si>
  <si>
    <t>(83)991383820</t>
  </si>
  <si>
    <t xml:space="preserve">Camilla Bezerra Santa Cruz </t>
  </si>
  <si>
    <t>(83) 9 9648-7537</t>
  </si>
  <si>
    <t>Damasio Franca</t>
  </si>
  <si>
    <t>(83) 986428652</t>
  </si>
  <si>
    <t xml:space="preserve">Gustavo Ribeiro Beloto (azul ano XXVIII) </t>
  </si>
  <si>
    <t>(83) 99933-4875</t>
  </si>
  <si>
    <t xml:space="preserve">Heloísa Bezerra Gomes da Silva </t>
  </si>
  <si>
    <t>(83) 99810-4182</t>
  </si>
  <si>
    <t>Leandro Medeiros</t>
  </si>
  <si>
    <t>83 99909-0159</t>
  </si>
  <si>
    <t>Lívia Martins</t>
  </si>
  <si>
    <t>(83) 9 9918-4096</t>
  </si>
  <si>
    <t>Lucas Varelo Novais</t>
  </si>
  <si>
    <t>(83)99814-5881</t>
  </si>
  <si>
    <t xml:space="preserve">Luiz Alberto Rezende Costa </t>
  </si>
  <si>
    <t>(83) 99907-9429</t>
  </si>
  <si>
    <t xml:space="preserve">Maria Eduarda Arruda </t>
  </si>
  <si>
    <t>(83) 9 9919-6870</t>
  </si>
  <si>
    <t xml:space="preserve">Maria Luisa Brito </t>
  </si>
  <si>
    <t>(83) 9 9610-1100</t>
  </si>
  <si>
    <t>Maria Luiza Marques</t>
  </si>
  <si>
    <t>(83) 9 8218-3608</t>
  </si>
  <si>
    <t>Pablo Henrique Melo Vieira</t>
  </si>
  <si>
    <t>(83) 9 9659-5045</t>
  </si>
  <si>
    <t xml:space="preserve">Paolla Maria da Silva Martins </t>
  </si>
  <si>
    <t>(99) 9 8195-8053</t>
  </si>
  <si>
    <t>Ramon Leite</t>
  </si>
  <si>
    <t>(83) 9 9403-5759</t>
  </si>
  <si>
    <t>Raphael Henrique</t>
  </si>
  <si>
    <t>(83) 98619-4310</t>
  </si>
  <si>
    <t>Ruan Carlos da Silva Alves</t>
  </si>
  <si>
    <t>(83) 98109-9118</t>
  </si>
  <si>
    <t>Sthefano Queiroga Buriti</t>
  </si>
  <si>
    <t>(83)9 82045162</t>
  </si>
  <si>
    <t xml:space="preserve">Thiago Henrique </t>
  </si>
  <si>
    <t>(83) 9 8190-7007 ( 83 99617-3524)</t>
  </si>
  <si>
    <t>Vanessa Bezerra de Carvalho</t>
  </si>
  <si>
    <t>(83) 9 9938-8062</t>
  </si>
  <si>
    <t>Vitor Araújo</t>
  </si>
  <si>
    <t>(83) 9 8772-9929</t>
  </si>
  <si>
    <t>Coordenadores jovens</t>
  </si>
  <si>
    <t>J7</t>
  </si>
  <si>
    <t>Casais:</t>
  </si>
  <si>
    <t>???</t>
  </si>
  <si>
    <t>Total encontreiros:</t>
  </si>
  <si>
    <t>LISTA DE ESPERA</t>
  </si>
  <si>
    <t>Observação/Motivo/Indicação</t>
  </si>
  <si>
    <t>MULHERES</t>
  </si>
  <si>
    <t>MONTAR PROXIMO AO ENCONTRO</t>
  </si>
</sst>
</file>

<file path=xl/styles.xml><?xml version="1.0" encoding="utf-8"?>
<styleSheet xmlns="http://schemas.openxmlformats.org/spreadsheetml/2006/main">
  <numFmts count="1">
    <numFmt numFmtId="164" formatCode="dd&quot;-&quot;mmm"/>
  </numFmts>
  <fonts count="80">
    <font>
      <sz val="11"/>
      <color rgb="FF000000"/>
      <name val="Calibri"/>
      <scheme val="minor"/>
    </font>
    <font>
      <b/>
      <sz val="12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sz val="12"/>
      <color rgb="FF000000"/>
      <name val="Arial"/>
    </font>
    <font>
      <sz val="11"/>
      <color theme="1"/>
      <name val="Calibri"/>
    </font>
    <font>
      <sz val="12"/>
      <color rgb="FF000000"/>
      <name val="Aptos"/>
    </font>
    <font>
      <sz val="12"/>
      <color theme="1"/>
      <name val="Aptos"/>
    </font>
    <font>
      <sz val="11"/>
      <color theme="1"/>
      <name val="Calibri"/>
    </font>
    <font>
      <sz val="11"/>
      <color rgb="FF000000"/>
      <name val="Calibri"/>
    </font>
    <font>
      <u/>
      <sz val="12"/>
      <color rgb="FF000000"/>
      <name val="Arial"/>
    </font>
    <font>
      <sz val="11"/>
      <color rgb="FF000000"/>
      <name val="Arial"/>
    </font>
    <font>
      <sz val="12"/>
      <color rgb="FF313131"/>
      <name val="Arial"/>
    </font>
    <font>
      <u/>
      <sz val="12"/>
      <color rgb="FF000000"/>
      <name val="Arial"/>
    </font>
    <font>
      <u/>
      <sz val="12"/>
      <color rgb="FF000000"/>
      <name val="Arial"/>
    </font>
    <font>
      <sz val="12"/>
      <color rgb="FF222222"/>
      <name val="Arial"/>
    </font>
    <font>
      <u/>
      <sz val="12"/>
      <color rgb="FF000000"/>
      <name val="Arial"/>
    </font>
    <font>
      <sz val="12"/>
      <color theme="1"/>
      <name val="Calibri"/>
    </font>
    <font>
      <u/>
      <sz val="12"/>
      <color rgb="FF000000"/>
      <name val="Arial"/>
    </font>
    <font>
      <u/>
      <sz val="12"/>
      <color rgb="FF0563C1"/>
      <name val="Arial"/>
    </font>
    <font>
      <u/>
      <sz val="12"/>
      <color rgb="FF000000"/>
      <name val="Arial"/>
    </font>
    <font>
      <u/>
      <sz val="12"/>
      <color rgb="FF0563C1"/>
      <name val="Arial"/>
    </font>
    <font>
      <u/>
      <sz val="12"/>
      <color rgb="FF000000"/>
      <name val="Arial"/>
    </font>
    <font>
      <u/>
      <sz val="12"/>
      <color rgb="FF0563C1"/>
      <name val="Arial"/>
    </font>
    <font>
      <b/>
      <u/>
      <sz val="12"/>
      <color theme="10"/>
      <name val="Arial"/>
    </font>
    <font>
      <sz val="12"/>
      <color rgb="FFFF0000"/>
      <name val="Arial"/>
    </font>
    <font>
      <sz val="12"/>
      <color rgb="FF0563C1"/>
      <name val="Arial"/>
    </font>
    <font>
      <u/>
      <sz val="12"/>
      <color theme="10"/>
      <name val="Arial"/>
    </font>
    <font>
      <u/>
      <sz val="12"/>
      <color theme="10"/>
      <name val="Arial"/>
    </font>
    <font>
      <sz val="12"/>
      <color rgb="FF6AA84F"/>
      <name val="Arial"/>
    </font>
    <font>
      <u/>
      <sz val="12"/>
      <color rgb="FF000000"/>
      <name val="Arial"/>
    </font>
    <font>
      <sz val="11"/>
      <color theme="1"/>
      <name val="Arial"/>
    </font>
    <font>
      <u/>
      <sz val="12"/>
      <color theme="1"/>
      <name val="Arial"/>
    </font>
    <font>
      <u/>
      <sz val="12"/>
      <color rgb="FF000000"/>
      <name val="Arial"/>
    </font>
    <font>
      <u/>
      <sz val="12"/>
      <color theme="1"/>
      <name val="Arial"/>
    </font>
    <font>
      <b/>
      <sz val="11"/>
      <color theme="1"/>
      <name val="Arial"/>
    </font>
    <font>
      <sz val="11"/>
      <color rgb="FF313131"/>
      <name val="Arial"/>
    </font>
    <font>
      <sz val="11"/>
      <color theme="1"/>
      <name val="Calibri"/>
      <scheme val="minor"/>
    </font>
    <font>
      <u/>
      <sz val="12"/>
      <color rgb="FF000000"/>
      <name val="Arial"/>
    </font>
    <font>
      <b/>
      <sz val="12"/>
      <color rgb="FF385724"/>
      <name val="Arial"/>
    </font>
    <font>
      <b/>
      <sz val="12"/>
      <color rgb="FFFF0000"/>
      <name val="Arial"/>
    </font>
    <font>
      <b/>
      <sz val="12"/>
      <color rgb="FF385623"/>
      <name val="Arial"/>
    </font>
    <font>
      <b/>
      <sz val="11"/>
      <color theme="1"/>
      <name val="Arial"/>
    </font>
    <font>
      <u/>
      <sz val="12"/>
      <color theme="1"/>
      <name val="Arial"/>
    </font>
    <font>
      <b/>
      <sz val="12"/>
      <color rgb="FF13519D"/>
      <name val="Arial"/>
    </font>
    <font>
      <u/>
      <sz val="12"/>
      <color rgb="FF000000"/>
      <name val="Arial"/>
    </font>
    <font>
      <b/>
      <sz val="12"/>
      <color rgb="FF1F497D"/>
      <name val="Arial"/>
    </font>
    <font>
      <u/>
      <sz val="12"/>
      <color rgb="FF000000"/>
      <name val="Arial"/>
    </font>
    <font>
      <u/>
      <sz val="12"/>
      <color rgb="FF000000"/>
      <name val="Arial"/>
    </font>
    <font>
      <u/>
      <sz val="12"/>
      <color rgb="FF000000"/>
      <name val="Arial"/>
    </font>
    <font>
      <u/>
      <sz val="12"/>
      <color theme="1"/>
      <name val="Arial"/>
    </font>
    <font>
      <sz val="11"/>
      <color rgb="FF313131"/>
      <name val="Arial"/>
    </font>
    <font>
      <b/>
      <u/>
      <sz val="12"/>
      <color rgb="FF000000"/>
      <name val="Arial"/>
    </font>
    <font>
      <u/>
      <sz val="12"/>
      <color rgb="FF000000"/>
      <name val="Arial"/>
    </font>
    <font>
      <sz val="11"/>
      <color theme="1"/>
      <name val="Arial"/>
    </font>
    <font>
      <sz val="12"/>
      <color rgb="FF434343"/>
      <name val="Arial"/>
    </font>
    <font>
      <u/>
      <sz val="12"/>
      <color theme="10"/>
      <name val="Arial"/>
    </font>
    <font>
      <u/>
      <sz val="12"/>
      <color rgb="FF0000FF"/>
      <name val="Arial"/>
    </font>
    <font>
      <u/>
      <sz val="12"/>
      <color theme="10"/>
      <name val="Arial"/>
    </font>
    <font>
      <u/>
      <sz val="12"/>
      <color theme="10"/>
      <name val="Arial"/>
    </font>
    <font>
      <u/>
      <sz val="12"/>
      <color rgb="FF000000"/>
      <name val="Arial"/>
    </font>
    <font>
      <sz val="12"/>
      <color rgb="FF000000"/>
      <name val="Calibri"/>
    </font>
    <font>
      <b/>
      <sz val="12"/>
      <color rgb="FF38761D"/>
      <name val="Arial"/>
    </font>
    <font>
      <u/>
      <sz val="12"/>
      <color theme="1"/>
      <name val="Arial"/>
    </font>
    <font>
      <u/>
      <sz val="12"/>
      <color rgb="FF0563C1"/>
      <name val="Arial"/>
    </font>
    <font>
      <u/>
      <sz val="12"/>
      <color theme="10"/>
      <name val="Arial"/>
    </font>
    <font>
      <strike/>
      <sz val="12"/>
      <color theme="1"/>
      <name val="Arial"/>
    </font>
    <font>
      <u/>
      <sz val="12"/>
      <color rgb="FF0563C1"/>
      <name val="Arial"/>
    </font>
    <font>
      <u/>
      <sz val="12"/>
      <color theme="1"/>
      <name val="Arial"/>
    </font>
    <font>
      <u/>
      <sz val="12"/>
      <color rgb="FF000000"/>
      <name val="Arial"/>
    </font>
    <font>
      <u/>
      <sz val="12"/>
      <color rgb="FF0000FF"/>
      <name val="Arial"/>
    </font>
    <font>
      <u/>
      <sz val="12"/>
      <color rgb="FF000000"/>
      <name val="Arial"/>
    </font>
    <font>
      <u/>
      <sz val="12"/>
      <color rgb="FF0000FF"/>
      <name val="Arial"/>
    </font>
    <font>
      <u/>
      <sz val="12"/>
      <color rgb="FF000000"/>
      <name val="Arial"/>
    </font>
    <font>
      <sz val="12"/>
      <color rgb="FF38761D"/>
      <name val="Arial"/>
    </font>
    <font>
      <sz val="11"/>
      <name val="Calibri"/>
    </font>
    <font>
      <sz val="11"/>
      <color rgb="FF000000"/>
      <name val="Arial"/>
    </font>
    <font>
      <sz val="13"/>
      <color rgb="FF38761D"/>
      <name val="Arial"/>
    </font>
    <font>
      <sz val="13"/>
      <color rgb="FF000000"/>
      <name val="Arial"/>
    </font>
    <font>
      <sz val="12"/>
      <color rgb="FF313131"/>
      <name val="-apple-system"/>
    </font>
  </fonts>
  <fills count="22">
    <fill>
      <patternFill patternType="none"/>
    </fill>
    <fill>
      <patternFill patternType="gray125"/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8F9FA"/>
        <bgColor rgb="FFF8F9FA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2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4" borderId="0" xfId="0" applyFont="1" applyFill="1"/>
    <xf numFmtId="0" fontId="4" fillId="4" borderId="2" xfId="0" applyFont="1" applyFill="1" applyBorder="1"/>
    <xf numFmtId="0" fontId="4" fillId="5" borderId="0" xfId="0" applyFont="1" applyFill="1"/>
    <xf numFmtId="0" fontId="4" fillId="5" borderId="2" xfId="0" applyFont="1" applyFill="1" applyBorder="1"/>
    <xf numFmtId="0" fontId="4" fillId="6" borderId="0" xfId="0" applyFont="1" applyFill="1"/>
    <xf numFmtId="0" fontId="4" fillId="6" borderId="2" xfId="0" applyFont="1" applyFill="1" applyBorder="1"/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8" fillId="3" borderId="1" xfId="0" applyFont="1" applyFill="1" applyBorder="1"/>
    <xf numFmtId="0" fontId="8" fillId="3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8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1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/>
    <xf numFmtId="0" fontId="8" fillId="0" borderId="0" xfId="0" applyFont="1" applyAlignment="1"/>
    <xf numFmtId="0" fontId="12" fillId="0" borderId="0" xfId="0" applyFont="1" applyAlignment="1">
      <alignment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 vertical="center"/>
    </xf>
    <xf numFmtId="0" fontId="2" fillId="7" borderId="0" xfId="0" applyFont="1" applyFill="1"/>
    <xf numFmtId="0" fontId="12" fillId="7" borderId="0" xfId="0" applyFont="1" applyFill="1" applyAlignment="1">
      <alignment vertical="center" wrapText="1"/>
    </xf>
    <xf numFmtId="0" fontId="4" fillId="7" borderId="0" xfId="0" applyFont="1" applyFill="1"/>
    <xf numFmtId="0" fontId="9" fillId="7" borderId="0" xfId="0" applyFont="1" applyFill="1"/>
    <xf numFmtId="0" fontId="2" fillId="7" borderId="4" xfId="0" applyFont="1" applyFill="1" applyBorder="1" applyAlignment="1">
      <alignment horizontal="left"/>
    </xf>
    <xf numFmtId="0" fontId="8" fillId="7" borderId="4" xfId="0" applyFont="1" applyFill="1" applyBorder="1" applyAlignment="1"/>
    <xf numFmtId="0" fontId="2" fillId="7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8" fillId="9" borderId="4" xfId="0" applyFont="1" applyFill="1" applyBorder="1" applyAlignment="1"/>
    <xf numFmtId="0" fontId="1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0" fontId="2" fillId="9" borderId="1" xfId="0" applyFont="1" applyFill="1" applyBorder="1" applyAlignment="1">
      <alignment horizontal="center" wrapText="1"/>
    </xf>
    <xf numFmtId="0" fontId="2" fillId="9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16" fillId="0" borderId="4" xfId="0" applyFont="1" applyBorder="1" applyAlignment="1">
      <alignment horizontal="center" wrapText="1"/>
    </xf>
    <xf numFmtId="0" fontId="2" fillId="9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9" fillId="0" borderId="4" xfId="0" applyFont="1" applyBorder="1" applyAlignment="1"/>
    <xf numFmtId="0" fontId="9" fillId="9" borderId="4" xfId="0" applyFont="1" applyFill="1" applyBorder="1" applyAlignment="1"/>
    <xf numFmtId="0" fontId="4" fillId="9" borderId="0" xfId="0" applyFont="1" applyFill="1"/>
    <xf numFmtId="0" fontId="2" fillId="9" borderId="0" xfId="0" applyFont="1" applyFill="1"/>
    <xf numFmtId="0" fontId="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8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0" fontId="8" fillId="9" borderId="1" xfId="0" applyFont="1" applyFill="1" applyBorder="1" applyAlignment="1"/>
    <xf numFmtId="0" fontId="2" fillId="9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/>
    <xf numFmtId="0" fontId="2" fillId="9" borderId="1" xfId="0" applyFont="1" applyFill="1" applyBorder="1"/>
    <xf numFmtId="0" fontId="9" fillId="0" borderId="1" xfId="0" applyFont="1" applyBorder="1"/>
    <xf numFmtId="0" fontId="4" fillId="0" borderId="1" xfId="0" applyFont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21" fillId="11" borderId="1" xfId="0" applyFont="1" applyFill="1" applyBorder="1" applyAlignment="1">
      <alignment horizontal="left"/>
    </xf>
    <xf numFmtId="0" fontId="2" fillId="11" borderId="1" xfId="0" applyFont="1" applyFill="1" applyBorder="1"/>
    <xf numFmtId="0" fontId="4" fillId="11" borderId="1" xfId="0" applyFont="1" applyFill="1" applyBorder="1"/>
    <xf numFmtId="0" fontId="9" fillId="11" borderId="1" xfId="0" applyFont="1" applyFill="1" applyBorder="1"/>
    <xf numFmtId="0" fontId="1" fillId="9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7" fillId="9" borderId="6" xfId="0" applyFont="1" applyFill="1" applyBorder="1" applyAlignment="1">
      <alignment horizontal="center"/>
    </xf>
    <xf numFmtId="0" fontId="28" fillId="9" borderId="2" xfId="0" applyFont="1" applyFill="1" applyBorder="1" applyAlignment="1">
      <alignment horizontal="left"/>
    </xf>
    <xf numFmtId="0" fontId="15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1" fillId="2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3" borderId="1" xfId="0" applyFont="1" applyFill="1" applyBorder="1"/>
    <xf numFmtId="0" fontId="2" fillId="13" borderId="0" xfId="0" applyFont="1" applyFill="1"/>
    <xf numFmtId="0" fontId="3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8" fillId="7" borderId="8" xfId="0" applyFont="1" applyFill="1" applyBorder="1" applyAlignment="1"/>
    <xf numFmtId="0" fontId="4" fillId="7" borderId="1" xfId="0" applyFont="1" applyFill="1" applyBorder="1" applyAlignment="1">
      <alignment horizontal="left"/>
    </xf>
    <xf numFmtId="0" fontId="30" fillId="7" borderId="4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3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/>
    <xf numFmtId="0" fontId="8" fillId="0" borderId="4" xfId="0" applyFont="1" applyBorder="1" applyAlignment="1"/>
    <xf numFmtId="0" fontId="8" fillId="0" borderId="9" xfId="0" applyFont="1" applyBorder="1" applyAlignment="1"/>
    <xf numFmtId="0" fontId="4" fillId="0" borderId="10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/>
    </xf>
    <xf numFmtId="0" fontId="4" fillId="0" borderId="1" xfId="0" applyFont="1" applyBorder="1"/>
    <xf numFmtId="0" fontId="7" fillId="0" borderId="0" xfId="0" applyFont="1" applyAlignment="1">
      <alignment horizontal="center" wrapText="1"/>
    </xf>
    <xf numFmtId="0" fontId="2" fillId="9" borderId="10" xfId="0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5" fillId="11" borderId="0" xfId="0" applyFont="1" applyFill="1" applyAlignment="1"/>
    <xf numFmtId="0" fontId="36" fillId="11" borderId="0" xfId="0" applyFont="1" applyFill="1" applyAlignment="1"/>
    <xf numFmtId="0" fontId="2" fillId="11" borderId="0" xfId="0" applyFont="1" applyFill="1" applyAlignment="1"/>
    <xf numFmtId="0" fontId="37" fillId="11" borderId="0" xfId="0" applyFont="1" applyFill="1"/>
    <xf numFmtId="0" fontId="37" fillId="11" borderId="0" xfId="0" applyFont="1" applyFill="1" applyAlignment="1"/>
    <xf numFmtId="0" fontId="4" fillId="11" borderId="11" xfId="0" applyFont="1" applyFill="1" applyBorder="1"/>
    <xf numFmtId="0" fontId="4" fillId="11" borderId="0" xfId="0" applyFont="1" applyFill="1"/>
    <xf numFmtId="0" fontId="4" fillId="0" borderId="12" xfId="0" applyFont="1" applyBorder="1"/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25" fillId="0" borderId="0" xfId="0" applyFont="1"/>
    <xf numFmtId="0" fontId="38" fillId="3" borderId="1" xfId="0" applyFont="1" applyFill="1" applyBorder="1" applyAlignment="1">
      <alignment horizontal="center"/>
    </xf>
    <xf numFmtId="0" fontId="4" fillId="7" borderId="1" xfId="0" applyFont="1" applyFill="1" applyBorder="1" applyAlignment="1"/>
    <xf numFmtId="0" fontId="4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4" fillId="10" borderId="1" xfId="0" applyFont="1" applyFill="1" applyBorder="1" applyAlignment="1"/>
    <xf numFmtId="0" fontId="1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3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5" fillId="11" borderId="0" xfId="0" applyFont="1" applyFill="1" applyAlignment="1"/>
    <xf numFmtId="0" fontId="4" fillId="11" borderId="1" xfId="0" applyFont="1" applyFill="1" applyBorder="1" applyAlignment="1">
      <alignment horizontal="left"/>
    </xf>
    <xf numFmtId="0" fontId="8" fillId="9" borderId="1" xfId="0" applyFont="1" applyFill="1" applyBorder="1"/>
    <xf numFmtId="0" fontId="5" fillId="0" borderId="1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4" fillId="0" borderId="0" xfId="0" applyFont="1" applyAlignment="1">
      <alignment horizontal="center" wrapText="1"/>
    </xf>
    <xf numFmtId="16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16" fontId="1" fillId="3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4" fillId="3" borderId="0" xfId="0" applyFont="1" applyFill="1"/>
    <xf numFmtId="0" fontId="2" fillId="3" borderId="0" xfId="0" applyFont="1" applyFill="1"/>
    <xf numFmtId="0" fontId="9" fillId="7" borderId="4" xfId="0" applyFont="1" applyFill="1" applyBorder="1" applyAlignment="1"/>
    <xf numFmtId="0" fontId="4" fillId="7" borderId="4" xfId="0" applyFont="1" applyFill="1" applyBorder="1" applyAlignment="1">
      <alignment horizontal="center" wrapText="1"/>
    </xf>
    <xf numFmtId="0" fontId="2" fillId="7" borderId="1" xfId="0" applyFont="1" applyFill="1" applyBorder="1"/>
    <xf numFmtId="0" fontId="39" fillId="0" borderId="0" xfId="0" applyFont="1" applyAlignment="1">
      <alignment horizontal="center" wrapText="1"/>
    </xf>
    <xf numFmtId="0" fontId="40" fillId="0" borderId="0" xfId="0" applyFont="1" applyAlignment="1">
      <alignment horizontal="center" wrapText="1"/>
    </xf>
    <xf numFmtId="0" fontId="41" fillId="0" borderId="0" xfId="0" applyFont="1" applyAlignment="1">
      <alignment horizontal="center" wrapText="1"/>
    </xf>
    <xf numFmtId="0" fontId="42" fillId="7" borderId="1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8" fillId="14" borderId="0" xfId="0" applyFont="1" applyFill="1" applyAlignment="1"/>
    <xf numFmtId="0" fontId="2" fillId="7" borderId="4" xfId="0" applyFont="1" applyFill="1" applyBorder="1"/>
    <xf numFmtId="0" fontId="4" fillId="10" borderId="0" xfId="0" applyFont="1" applyFill="1" applyAlignment="1">
      <alignment horizontal="center" wrapText="1"/>
    </xf>
    <xf numFmtId="0" fontId="40" fillId="10" borderId="0" xfId="0" applyFont="1" applyFill="1" applyAlignment="1">
      <alignment horizontal="center" wrapText="1"/>
    </xf>
    <xf numFmtId="0" fontId="4" fillId="10" borderId="0" xfId="0" applyFont="1" applyFill="1" applyAlignment="1">
      <alignment wrapText="1"/>
    </xf>
    <xf numFmtId="0" fontId="4" fillId="10" borderId="0" xfId="0" applyFont="1" applyFill="1"/>
    <xf numFmtId="0" fontId="2" fillId="10" borderId="0" xfId="0" applyFont="1" applyFill="1"/>
    <xf numFmtId="0" fontId="2" fillId="0" borderId="1" xfId="0" applyFont="1" applyBorder="1" applyAlignment="1">
      <alignment horizontal="center" wrapText="1"/>
    </xf>
    <xf numFmtId="0" fontId="2" fillId="10" borderId="1" xfId="0" applyFont="1" applyFill="1" applyBorder="1"/>
    <xf numFmtId="0" fontId="1" fillId="10" borderId="0" xfId="0" applyFont="1" applyFill="1" applyAlignment="1">
      <alignment horizontal="center"/>
    </xf>
    <xf numFmtId="0" fontId="43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9" fillId="10" borderId="0" xfId="0" applyFont="1" applyFill="1" applyAlignment="1">
      <alignment horizontal="center" wrapText="1"/>
    </xf>
    <xf numFmtId="0" fontId="2" fillId="9" borderId="1" xfId="0" applyFont="1" applyFill="1" applyBorder="1" applyAlignment="1">
      <alignment horizontal="center"/>
    </xf>
    <xf numFmtId="0" fontId="4" fillId="10" borderId="1" xfId="0" applyFont="1" applyFill="1" applyBorder="1"/>
    <xf numFmtId="0" fontId="4" fillId="9" borderId="1" xfId="0" applyFont="1" applyFill="1" applyBorder="1" applyAlignment="1">
      <alignment horizontal="center"/>
    </xf>
    <xf numFmtId="0" fontId="4" fillId="10" borderId="4" xfId="0" applyFont="1" applyFill="1" applyBorder="1" applyAlignment="1"/>
    <xf numFmtId="0" fontId="4" fillId="10" borderId="4" xfId="0" applyFont="1" applyFill="1" applyBorder="1" applyAlignment="1">
      <alignment horizontal="center"/>
    </xf>
    <xf numFmtId="0" fontId="8" fillId="10" borderId="1" xfId="0" applyFont="1" applyFill="1" applyBorder="1" applyAlignment="1"/>
    <xf numFmtId="0" fontId="2" fillId="10" borderId="1" xfId="0" applyFont="1" applyFill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44" fillId="10" borderId="0" xfId="0" applyFont="1" applyFill="1" applyAlignment="1">
      <alignment horizontal="center" wrapText="1"/>
    </xf>
    <xf numFmtId="0" fontId="8" fillId="9" borderId="4" xfId="0" applyFont="1" applyFill="1" applyBorder="1"/>
    <xf numFmtId="0" fontId="45" fillId="9" borderId="4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6" fillId="10" borderId="0" xfId="0" applyFont="1" applyFill="1" applyAlignment="1">
      <alignment horizontal="center" wrapText="1"/>
    </xf>
    <xf numFmtId="0" fontId="47" fillId="10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9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1" fillId="1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4" fillId="14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4" xfId="0" applyFont="1" applyBorder="1" applyAlignment="1"/>
    <xf numFmtId="0" fontId="2" fillId="3" borderId="1" xfId="0" applyFont="1" applyFill="1" applyBorder="1" applyAlignment="1">
      <alignment horizontal="center" wrapText="1"/>
    </xf>
    <xf numFmtId="0" fontId="4" fillId="14" borderId="0" xfId="0" applyFont="1" applyFill="1"/>
    <xf numFmtId="0" fontId="4" fillId="3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49" fillId="0" borderId="1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5" fillId="14" borderId="0" xfId="0" applyFont="1" applyFill="1"/>
    <xf numFmtId="0" fontId="1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wrapText="1"/>
    </xf>
    <xf numFmtId="0" fontId="40" fillId="7" borderId="0" xfId="0" applyFont="1" applyFill="1" applyAlignment="1">
      <alignment horizontal="center" wrapText="1"/>
    </xf>
    <xf numFmtId="0" fontId="41" fillId="7" borderId="0" xfId="0" applyFont="1" applyFill="1" applyAlignment="1">
      <alignment horizontal="center" wrapText="1"/>
    </xf>
    <xf numFmtId="0" fontId="53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0" fontId="2" fillId="9" borderId="0" xfId="0" applyFont="1" applyFill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5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5" fillId="11" borderId="1" xfId="0" applyFont="1" applyFill="1" applyBorder="1" applyAlignment="1">
      <alignment horizontal="center"/>
    </xf>
    <xf numFmtId="0" fontId="55" fillId="11" borderId="1" xfId="0" applyFont="1" applyFill="1" applyBorder="1" applyAlignment="1">
      <alignment horizontal="center"/>
    </xf>
    <xf numFmtId="0" fontId="4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left" wrapText="1"/>
    </xf>
    <xf numFmtId="0" fontId="4" fillId="11" borderId="1" xfId="0" applyFont="1" applyFill="1" applyBorder="1" applyAlignment="1">
      <alignment horizontal="center" wrapText="1"/>
    </xf>
    <xf numFmtId="0" fontId="41" fillId="11" borderId="1" xfId="0" applyFont="1" applyFill="1" applyBorder="1" applyAlignment="1">
      <alignment horizontal="center" wrapText="1"/>
    </xf>
    <xf numFmtId="0" fontId="40" fillId="11" borderId="1" xfId="0" applyFont="1" applyFill="1" applyBorder="1" applyAlignment="1">
      <alignment horizontal="center" wrapText="1"/>
    </xf>
    <xf numFmtId="0" fontId="4" fillId="10" borderId="6" xfId="0" applyFont="1" applyFill="1" applyBorder="1"/>
    <xf numFmtId="0" fontId="4" fillId="10" borderId="2" xfId="0" applyFont="1" applyFill="1" applyBorder="1"/>
    <xf numFmtId="0" fontId="4" fillId="17" borderId="2" xfId="0" applyFont="1" applyFill="1" applyBorder="1" applyAlignment="1">
      <alignment horizontal="center"/>
    </xf>
    <xf numFmtId="0" fontId="4" fillId="17" borderId="2" xfId="0" applyFont="1" applyFill="1" applyBorder="1" applyAlignment="1">
      <alignment horizontal="center" vertical="center"/>
    </xf>
    <xf numFmtId="0" fontId="56" fillId="17" borderId="2" xfId="0" applyFont="1" applyFill="1" applyBorder="1" applyAlignment="1">
      <alignment horizontal="center"/>
    </xf>
    <xf numFmtId="0" fontId="8" fillId="10" borderId="2" xfId="0" applyFont="1" applyFill="1" applyBorder="1"/>
    <xf numFmtId="0" fontId="7" fillId="3" borderId="0" xfId="0" applyFont="1" applyFill="1" applyAlignment="1">
      <alignment horizontal="center"/>
    </xf>
    <xf numFmtId="0" fontId="57" fillId="3" borderId="1" xfId="0" applyFont="1" applyFill="1" applyBorder="1" applyAlignment="1">
      <alignment horizontal="center"/>
    </xf>
    <xf numFmtId="0" fontId="8" fillId="7" borderId="4" xfId="0" applyFont="1" applyFill="1" applyBorder="1"/>
    <xf numFmtId="0" fontId="15" fillId="7" borderId="1" xfId="0" applyFont="1" applyFill="1" applyBorder="1" applyAlignment="1">
      <alignment horizontal="center"/>
    </xf>
    <xf numFmtId="0" fontId="9" fillId="7" borderId="4" xfId="0" applyFont="1" applyFill="1" applyBorder="1"/>
    <xf numFmtId="0" fontId="54" fillId="7" borderId="0" xfId="0" applyFont="1" applyFill="1"/>
    <xf numFmtId="0" fontId="4" fillId="9" borderId="1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 applyAlignment="1"/>
    <xf numFmtId="0" fontId="2" fillId="0" borderId="0" xfId="0" applyFont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wrapText="1"/>
    </xf>
    <xf numFmtId="0" fontId="1" fillId="0" borderId="0" xfId="0" applyFont="1"/>
    <xf numFmtId="0" fontId="1" fillId="11" borderId="0" xfId="0" applyFont="1" applyFill="1" applyAlignment="1"/>
    <xf numFmtId="0" fontId="2" fillId="11" borderId="0" xfId="0" applyFont="1" applyFill="1" applyAlignment="1">
      <alignment horizontal="center" wrapText="1"/>
    </xf>
    <xf numFmtId="0" fontId="2" fillId="11" borderId="0" xfId="0" applyFont="1" applyFill="1" applyAlignment="1">
      <alignment horizontal="center"/>
    </xf>
    <xf numFmtId="0" fontId="58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59" fillId="0" borderId="0" xfId="0" applyFont="1" applyAlignment="1">
      <alignment horizontal="center"/>
    </xf>
    <xf numFmtId="0" fontId="4" fillId="1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31" fillId="7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54" fillId="0" borderId="1" xfId="0" applyFont="1" applyBorder="1"/>
    <xf numFmtId="0" fontId="9" fillId="0" borderId="1" xfId="0" applyFont="1" applyBorder="1" applyAlignment="1">
      <alignment horizontal="center"/>
    </xf>
    <xf numFmtId="0" fontId="2" fillId="9" borderId="4" xfId="0" applyFont="1" applyFill="1" applyBorder="1" applyAlignment="1">
      <alignment horizontal="center" wrapText="1"/>
    </xf>
    <xf numFmtId="0" fontId="2" fillId="9" borderId="4" xfId="0" applyFont="1" applyFill="1" applyBorder="1" applyAlignment="1"/>
    <xf numFmtId="0" fontId="60" fillId="0" borderId="1" xfId="0" applyFont="1" applyBorder="1" applyAlignment="1">
      <alignment horizontal="center" vertical="center"/>
    </xf>
    <xf numFmtId="0" fontId="3" fillId="0" borderId="0" xfId="0" applyFont="1"/>
    <xf numFmtId="0" fontId="9" fillId="0" borderId="1" xfId="0" applyFont="1" applyBorder="1" applyAlignment="1"/>
    <xf numFmtId="0" fontId="35" fillId="11" borderId="1" xfId="0" applyFont="1" applyFill="1" applyBorder="1" applyAlignment="1"/>
    <xf numFmtId="0" fontId="2" fillId="11" borderId="1" xfId="0" applyFont="1" applyFill="1" applyBorder="1" applyAlignment="1">
      <alignment horizontal="center" wrapText="1"/>
    </xf>
    <xf numFmtId="0" fontId="37" fillId="11" borderId="1" xfId="0" applyFont="1" applyFill="1" applyBorder="1"/>
    <xf numFmtId="0" fontId="37" fillId="11" borderId="1" xfId="0" applyFont="1" applyFill="1" applyBorder="1" applyAlignment="1"/>
    <xf numFmtId="0" fontId="4" fillId="10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4" fillId="10" borderId="6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wrapText="1"/>
    </xf>
    <xf numFmtId="0" fontId="2" fillId="10" borderId="4" xfId="0" applyFont="1" applyFill="1" applyBorder="1" applyAlignment="1">
      <alignment horizontal="center" wrapText="1"/>
    </xf>
    <xf numFmtId="0" fontId="8" fillId="10" borderId="4" xfId="0" applyFont="1" applyFill="1" applyBorder="1" applyAlignment="1"/>
    <xf numFmtId="0" fontId="2" fillId="10" borderId="4" xfId="0" applyFont="1" applyFill="1" applyBorder="1" applyAlignment="1">
      <alignment horizontal="center"/>
    </xf>
    <xf numFmtId="0" fontId="2" fillId="10" borderId="2" xfId="0" applyFont="1" applyFill="1" applyBorder="1"/>
    <xf numFmtId="0" fontId="8" fillId="3" borderId="4" xfId="0" applyFont="1" applyFill="1" applyBorder="1"/>
    <xf numFmtId="0" fontId="5" fillId="7" borderId="0" xfId="0" applyFont="1" applyFill="1"/>
    <xf numFmtId="0" fontId="61" fillId="9" borderId="4" xfId="0" applyFont="1" applyFill="1" applyBorder="1" applyAlignment="1">
      <alignment horizontal="center"/>
    </xf>
    <xf numFmtId="0" fontId="6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2" fillId="11" borderId="11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8" fillId="0" borderId="4" xfId="0" applyFont="1" applyBorder="1"/>
    <xf numFmtId="0" fontId="4" fillId="9" borderId="1" xfId="0" applyFont="1" applyFill="1" applyBorder="1" applyAlignment="1">
      <alignment horizontal="center" vertical="center"/>
    </xf>
    <xf numFmtId="0" fontId="3" fillId="10" borderId="1" xfId="0" applyFont="1" applyFill="1" applyBorder="1"/>
    <xf numFmtId="0" fontId="2" fillId="10" borderId="16" xfId="0" applyFont="1" applyFill="1" applyBorder="1"/>
    <xf numFmtId="0" fontId="8" fillId="0" borderId="12" xfId="0" applyFont="1" applyBorder="1" applyAlignment="1"/>
    <xf numFmtId="0" fontId="3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11" borderId="1" xfId="0" applyFont="1" applyFill="1" applyBorder="1" applyAlignment="1"/>
    <xf numFmtId="0" fontId="12" fillId="11" borderId="0" xfId="0" applyFont="1" applyFill="1" applyAlignment="1"/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3" fillId="10" borderId="1" xfId="0" applyFont="1" applyFill="1" applyBorder="1" applyAlignment="1"/>
    <xf numFmtId="0" fontId="3" fillId="0" borderId="1" xfId="0" applyFont="1" applyBorder="1" applyAlignment="1">
      <alignment horizontal="center" vertical="center" wrapText="1"/>
    </xf>
    <xf numFmtId="0" fontId="62" fillId="9" borderId="1" xfId="0" applyFont="1" applyFill="1" applyBorder="1"/>
    <xf numFmtId="0" fontId="3" fillId="3" borderId="1" xfId="0" applyFont="1" applyFill="1" applyBorder="1" applyAlignment="1">
      <alignment horizontal="center"/>
    </xf>
    <xf numFmtId="0" fontId="8" fillId="3" borderId="4" xfId="0" applyFont="1" applyFill="1" applyBorder="1" applyAlignment="1"/>
    <xf numFmtId="0" fontId="4" fillId="7" borderId="4" xfId="0" applyFont="1" applyFill="1" applyBorder="1" applyAlignment="1">
      <alignment horizontal="center" wrapText="1"/>
    </xf>
    <xf numFmtId="0" fontId="9" fillId="12" borderId="0" xfId="0" applyFont="1" applyFill="1" applyAlignment="1"/>
    <xf numFmtId="0" fontId="63" fillId="7" borderId="4" xfId="0" applyFont="1" applyFill="1" applyBorder="1" applyAlignment="1">
      <alignment horizontal="center"/>
    </xf>
    <xf numFmtId="0" fontId="8" fillId="7" borderId="0" xfId="0" applyFont="1" applyFill="1" applyAlignment="1"/>
    <xf numFmtId="0" fontId="2" fillId="7" borderId="1" xfId="0" applyFont="1" applyFill="1" applyBorder="1" applyAlignment="1">
      <alignment horizontal="center"/>
    </xf>
    <xf numFmtId="0" fontId="64" fillId="0" borderId="1" xfId="0" applyFont="1" applyBorder="1" applyAlignment="1">
      <alignment horizontal="center"/>
    </xf>
    <xf numFmtId="0" fontId="65" fillId="10" borderId="6" xfId="0" applyFont="1" applyFill="1" applyBorder="1" applyAlignment="1">
      <alignment horizontal="center"/>
    </xf>
    <xf numFmtId="0" fontId="2" fillId="7" borderId="1" xfId="0" applyFont="1" applyFill="1" applyBorder="1" applyAlignment="1"/>
    <xf numFmtId="0" fontId="4" fillId="9" borderId="4" xfId="0" applyFont="1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1" fillId="9" borderId="0" xfId="0" applyFont="1" applyFill="1"/>
    <xf numFmtId="0" fontId="4" fillId="9" borderId="4" xfId="0" applyFont="1" applyFill="1" applyBorder="1" applyAlignment="1">
      <alignment horizontal="center" wrapText="1"/>
    </xf>
    <xf numFmtId="0" fontId="66" fillId="0" borderId="1" xfId="0" applyFont="1" applyBorder="1" applyAlignment="1">
      <alignment horizontal="left"/>
    </xf>
    <xf numFmtId="0" fontId="66" fillId="0" borderId="0" xfId="0" applyFont="1"/>
    <xf numFmtId="0" fontId="67" fillId="0" borderId="4" xfId="0" applyFont="1" applyBorder="1" applyAlignment="1">
      <alignment horizontal="center"/>
    </xf>
    <xf numFmtId="0" fontId="8" fillId="9" borderId="0" xfId="0" applyFont="1" applyFill="1" applyAlignment="1"/>
    <xf numFmtId="0" fontId="68" fillId="9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9" fillId="9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2" fillId="10" borderId="16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70" fillId="9" borderId="4" xfId="0" applyFont="1" applyFill="1" applyBorder="1" applyAlignment="1">
      <alignment horizontal="center"/>
    </xf>
    <xf numFmtId="0" fontId="71" fillId="0" borderId="4" xfId="0" applyFont="1" applyBorder="1" applyAlignment="1">
      <alignment horizontal="center"/>
    </xf>
    <xf numFmtId="0" fontId="72" fillId="9" borderId="1" xfId="0" applyFont="1" applyFill="1" applyBorder="1" applyAlignment="1">
      <alignment horizontal="center"/>
    </xf>
    <xf numFmtId="0" fontId="62" fillId="9" borderId="6" xfId="0" applyFont="1" applyFill="1" applyBorder="1"/>
    <xf numFmtId="0" fontId="62" fillId="9" borderId="2" xfId="0" applyFont="1" applyFill="1" applyBorder="1" applyAlignment="1">
      <alignment horizontal="center"/>
    </xf>
    <xf numFmtId="0" fontId="7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4" fillId="19" borderId="4" xfId="0" applyFont="1" applyFill="1" applyBorder="1" applyAlignment="1">
      <alignment horizontal="center"/>
    </xf>
    <xf numFmtId="0" fontId="2" fillId="19" borderId="4" xfId="0" applyFont="1" applyFill="1" applyBorder="1" applyAlignment="1"/>
    <xf numFmtId="0" fontId="2" fillId="19" borderId="0" xfId="0" applyFont="1" applyFill="1"/>
    <xf numFmtId="0" fontId="2" fillId="19" borderId="1" xfId="0" applyFont="1" applyFill="1" applyBorder="1" applyAlignment="1">
      <alignment horizontal="center"/>
    </xf>
    <xf numFmtId="0" fontId="4" fillId="19" borderId="4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74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left"/>
    </xf>
    <xf numFmtId="0" fontId="2" fillId="0" borderId="0" xfId="0" applyFont="1" applyAlignment="1">
      <alignment horizontal="center" wrapText="1"/>
    </xf>
    <xf numFmtId="0" fontId="76" fillId="0" borderId="1" xfId="0" applyFont="1" applyBorder="1" applyAlignment="1">
      <alignment horizontal="center"/>
    </xf>
    <xf numFmtId="0" fontId="76" fillId="0" borderId="1" xfId="0" applyFont="1" applyBorder="1" applyAlignment="1">
      <alignment horizontal="left"/>
    </xf>
    <xf numFmtId="0" fontId="77" fillId="0" borderId="0" xfId="0" applyFont="1" applyAlignment="1">
      <alignment horizontal="center"/>
    </xf>
    <xf numFmtId="0" fontId="78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54" fillId="0" borderId="1" xfId="0" applyFont="1" applyBorder="1" applyAlignment="1"/>
    <xf numFmtId="0" fontId="54" fillId="0" borderId="0" xfId="0" applyFont="1" applyAlignment="1"/>
    <xf numFmtId="0" fontId="2" fillId="7" borderId="4" xfId="0" applyFont="1" applyFill="1" applyBorder="1" applyAlignment="1">
      <alignment horizontal="center"/>
    </xf>
    <xf numFmtId="0" fontId="5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15" xfId="0" applyFont="1" applyBorder="1" applyAlignment="1">
      <alignment horizontal="left"/>
    </xf>
    <xf numFmtId="0" fontId="76" fillId="0" borderId="4" xfId="0" applyFont="1" applyBorder="1" applyAlignment="1">
      <alignment horizontal="center"/>
    </xf>
    <xf numFmtId="0" fontId="76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4" fillId="0" borderId="1" xfId="0" applyFont="1" applyBorder="1" applyAlignment="1">
      <alignment horizontal="right"/>
    </xf>
    <xf numFmtId="0" fontId="54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4" fillId="15" borderId="0" xfId="0" applyFont="1" applyFill="1" applyAlignment="1">
      <alignment horizontal="center"/>
    </xf>
    <xf numFmtId="0" fontId="74" fillId="9" borderId="0" xfId="0" applyFont="1" applyFill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2" fillId="9" borderId="0" xfId="0" applyFont="1" applyFill="1" applyAlignment="1">
      <alignment horizontal="center"/>
    </xf>
    <xf numFmtId="0" fontId="4" fillId="15" borderId="1" xfId="0" applyFont="1" applyFill="1" applyBorder="1" applyAlignment="1">
      <alignment horizontal="center" wrapText="1"/>
    </xf>
    <xf numFmtId="0" fontId="4" fillId="15" borderId="1" xfId="0" applyFont="1" applyFill="1" applyBorder="1" applyAlignment="1"/>
    <xf numFmtId="0" fontId="4" fillId="15" borderId="1" xfId="0" applyFont="1" applyFill="1" applyBorder="1" applyAlignment="1">
      <alignment horizontal="left"/>
    </xf>
    <xf numFmtId="0" fontId="5" fillId="0" borderId="4" xfId="0" applyFont="1" applyBorder="1"/>
    <xf numFmtId="0" fontId="5" fillId="0" borderId="1" xfId="0" applyFont="1" applyBorder="1" applyAlignment="1">
      <alignment horizontal="left"/>
    </xf>
    <xf numFmtId="0" fontId="1" fillId="15" borderId="0" xfId="0" applyFont="1" applyFill="1" applyAlignment="1">
      <alignment horizontal="center"/>
    </xf>
    <xf numFmtId="0" fontId="0" fillId="0" borderId="0" xfId="0" applyFont="1" applyAlignment="1"/>
    <xf numFmtId="0" fontId="1" fillId="16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5" fillId="0" borderId="4" xfId="0" applyFont="1" applyBorder="1"/>
    <xf numFmtId="0" fontId="1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12" borderId="17" xfId="0" applyFont="1" applyFill="1" applyBorder="1" applyAlignment="1">
      <alignment horizontal="center"/>
    </xf>
    <xf numFmtId="0" fontId="75" fillId="0" borderId="18" xfId="0" applyFont="1" applyBorder="1"/>
    <xf numFmtId="0" fontId="75" fillId="0" borderId="19" xfId="0" applyFont="1" applyBorder="1"/>
    <xf numFmtId="0" fontId="1" fillId="15" borderId="10" xfId="0" applyFont="1" applyFill="1" applyBorder="1" applyAlignment="1">
      <alignment horizontal="center"/>
    </xf>
    <xf numFmtId="0" fontId="75" fillId="0" borderId="8" xfId="0" applyFont="1" applyBorder="1"/>
    <xf numFmtId="0" fontId="3" fillId="20" borderId="10" xfId="0" applyFont="1" applyFill="1" applyBorder="1" applyAlignment="1">
      <alignment horizontal="center"/>
    </xf>
    <xf numFmtId="0" fontId="1" fillId="21" borderId="10" xfId="0" applyFont="1" applyFill="1" applyBorder="1" applyAlignment="1">
      <alignment horizontal="center"/>
    </xf>
  </cellXfs>
  <cellStyles count="1">
    <cellStyle name="Normal" xfId="0" builtinId="0"/>
  </cellStyles>
  <dxfs count="3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9">
    <tableStyle name="Círculos-style" pivot="0" count="2">
      <tableStyleElement type="firstRowStripe" dxfId="37"/>
      <tableStyleElement type="secondRowStripe" dxfId="36"/>
    </tableStyle>
    <tableStyle name="Boa Vontade-style" pivot="0" count="2">
      <tableStyleElement type="firstRowStripe" dxfId="35"/>
      <tableStyleElement type="secondRowStripe" dxfId="34"/>
    </tableStyle>
    <tableStyle name="Tráfego-style" pivot="0" count="2">
      <tableStyleElement type="firstRowStripe" dxfId="33"/>
      <tableStyleElement type="secondRowStripe" dxfId="32"/>
    </tableStyle>
    <tableStyle name="Tráfego-style 2" pivot="0" count="2">
      <tableStyleElement type="firstRowStripe" dxfId="31"/>
      <tableStyleElement type="secondRowStripe" dxfId="30"/>
    </tableStyle>
    <tableStyle name="Banda-style" pivot="0" count="2">
      <tableStyleElement type="firstRowStripe" dxfId="29"/>
      <tableStyleElement type="secondRowStripe" dxfId="28"/>
    </tableStyle>
    <tableStyle name="Cozinha-style" pivot="0" count="2">
      <tableStyleElement type="firstRowStripe" dxfId="27"/>
      <tableStyleElement type="secondRowStripe" dxfId="26"/>
    </tableStyle>
    <tableStyle name="Lanche-style" pivot="0" count="2">
      <tableStyleElement type="firstRowStripe" dxfId="25"/>
      <tableStyleElement type="secondRowStripe" dxfId="24"/>
    </tableStyle>
    <tableStyle name="Lanche-style 2" pivot="0" count="2">
      <tableStyleElement type="firstRowStripe" dxfId="23"/>
      <tableStyleElement type="secondRowStripe" dxfId="22"/>
    </tableStyle>
    <tableStyle name="Liturgia e Vigília-style" pivot="0" count="2">
      <tableStyleElement type="firstRowStripe" dxfId="21"/>
      <tableStyleElement type="secondRowStripe" dxfId="20"/>
    </tableStyle>
    <tableStyle name="Liturgia e Vigília-style 2" pivot="0" count="2">
      <tableStyleElement type="firstRowStripe" dxfId="19"/>
      <tableStyleElement type="secondRowStripe" dxfId="18"/>
    </tableStyle>
    <tableStyle name="Trânsito e Recepção-style" pivot="0" count="2">
      <tableStyleElement type="firstRowStripe" dxfId="17"/>
      <tableStyleElement type="secondRowStripe" dxfId="16"/>
    </tableStyle>
    <tableStyle name="Trânsito e Recepção-style 2" pivot="0" count="2">
      <tableStyleElement type="firstRowStripe" dxfId="15"/>
      <tableStyleElement type="secondRowStripe" dxfId="14"/>
    </tableStyle>
    <tableStyle name="Minibox-style" pivot="0" count="2">
      <tableStyleElement type="firstRowStripe" dxfId="13"/>
      <tableStyleElement type="secondRowStripe" dxfId="12"/>
    </tableStyle>
    <tableStyle name="Sociodrama-style" pivot="0" count="2">
      <tableStyleElement type="firstRowStripe" dxfId="11"/>
      <tableStyleElement type="secondRowStripe" dxfId="10"/>
    </tableStyle>
    <tableStyle name="Ordem-style" pivot="0" count="2">
      <tableStyleElement type="firstRowStripe" dxfId="9"/>
      <tableStyleElement type="secondRowStripe" dxfId="8"/>
    </tableStyle>
    <tableStyle name="Secretaria-style" pivot="0" count="2">
      <tableStyleElement type="firstRowStripe" dxfId="7"/>
      <tableStyleElement type="secondRowStripe" dxfId="6"/>
    </tableStyle>
    <tableStyle name="Secretaria-style 2" pivot="0" count="2">
      <tableStyleElement type="firstRowStripe" dxfId="5"/>
      <tableStyleElement type="secondRowStripe" dxfId="4"/>
    </tableStyle>
    <tableStyle name="Som e Iluminação-style" pivot="0" count="2">
      <tableStyleElement type="firstRowStripe" dxfId="3"/>
      <tableStyleElement type="secondRowStripe" dxfId="2"/>
    </tableStyle>
    <tableStyle name="Som e Iluminação-style 2" pivot="0" count="2"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_1" displayName="Table_1" ref="B9:C14" headerRowCount="0">
  <tableColumns count="2">
    <tableColumn id="1" name="Column1"/>
    <tableColumn id="2" name="Column2"/>
  </tableColumns>
  <tableStyleInfo name="Círculo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9:C52" headerRowCount="0">
  <tableColumns count="2">
    <tableColumn id="1" name="Column1"/>
    <tableColumn id="2" name="Column2"/>
  </tableColumns>
  <tableStyleInfo name="Boa Vontade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B2:C3" headerRowCount="0">
  <tableColumns count="2">
    <tableColumn id="1" name="Column1"/>
    <tableColumn id="2" name="Column2"/>
  </tableColumns>
  <tableStyleInfo name="Tráfego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B27:C51" headerRowCount="0">
  <tableColumns count="2">
    <tableColumn id="1" name="Column1"/>
    <tableColumn id="2" name="Column2"/>
  </tableColumns>
  <tableStyleInfo name="Tráfego-style 2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B9:C35" headerRowCount="0">
  <tableColumns count="2">
    <tableColumn id="1" name="Column1"/>
    <tableColumn id="2" name="Column2"/>
  </tableColumns>
  <tableStyleInfo name="Banda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B14:C38" headerRowCount="0">
  <tableColumns count="2">
    <tableColumn id="1" name="Column1"/>
    <tableColumn id="2" name="Column2"/>
  </tableColumns>
  <tableStyleInfo name="Cozinha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B11:C27" headerRowCount="0">
  <tableColumns count="2">
    <tableColumn id="1" name="Column1"/>
    <tableColumn id="2" name="Column2"/>
  </tableColumns>
  <tableStyleInfo name="Lanche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B28:C47" headerRowCount="0">
  <tableColumns count="2">
    <tableColumn id="1" name="Column1"/>
    <tableColumn id="2" name="Column2"/>
  </tableColumns>
  <tableStyleInfo name="Lanche-style 2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B25:C33" headerRowCount="0">
  <tableColumns count="2">
    <tableColumn id="1" name="Column1"/>
    <tableColumn id="2" name="Column2"/>
  </tableColumns>
  <tableStyleInfo name="Liturgia e Vigília-style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B34:C51" headerRowCount="0">
  <tableColumns count="2">
    <tableColumn id="1" name="Column1"/>
    <tableColumn id="2" name="Column2"/>
  </tableColumns>
  <tableStyleInfo name="Liturgia e Vigília-style 2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B3:C5" headerRowCount="0">
  <tableColumns count="2">
    <tableColumn id="1" name="Column1"/>
    <tableColumn id="2" name="Column2"/>
  </tableColumns>
  <tableStyleInfo name="Trânsito e Recepção-style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B16:C48" headerRowCount="0">
  <tableColumns count="2">
    <tableColumn id="1" name="Column1"/>
    <tableColumn id="2" name="Column2"/>
  </tableColumns>
  <tableStyleInfo name="Trânsito e Recepção-style 2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B14:C57" headerRowCount="0">
  <tableColumns count="2">
    <tableColumn id="1" name="Column1"/>
    <tableColumn id="2" name="Column2"/>
  </tableColumns>
  <tableStyleInfo name="Minibox-style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B18:C34" headerRowCount="0">
  <tableColumns count="2">
    <tableColumn id="1" name="Column1"/>
    <tableColumn id="2" name="Column2"/>
  </tableColumns>
  <tableStyleInfo name="Sociodrama-style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B26:C42" headerRowCount="0">
  <tableColumns count="2">
    <tableColumn id="1" name="Column1"/>
    <tableColumn id="2" name="Column2"/>
  </tableColumns>
  <tableStyleInfo name="Ordem-style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B5:C6" headerRowCount="0">
  <tableColumns count="2">
    <tableColumn id="1" name="Column1"/>
    <tableColumn id="2" name="Column2"/>
  </tableColumns>
  <tableStyleInfo name="Secretaria-style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B16:C37" headerRowCount="0">
  <tableColumns count="2">
    <tableColumn id="1" name="Column1"/>
    <tableColumn id="2" name="Column2"/>
  </tableColumns>
  <tableStyleInfo name="Secretaria-style 2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B5:C6" headerRowCount="0">
  <tableColumns count="2">
    <tableColumn id="1" name="Column1"/>
    <tableColumn id="2" name="Column2"/>
  </tableColumns>
  <tableStyleInfo name="Som e Iluminação-style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B16:C32" headerRowCount="0">
  <tableColumns count="2">
    <tableColumn id="1" name="Column1"/>
    <tableColumn id="2" name="Column2"/>
  </tableColumns>
  <tableStyleInfo name="Som e Iluminação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  <outlinePr summaryBelow="0" summaryRight="0"/>
  </sheetPr>
  <dimension ref="A1:AA999"/>
  <sheetViews>
    <sheetView topLeftCell="A16" workbookViewId="0"/>
  </sheetViews>
  <sheetFormatPr defaultColWidth="14.453125" defaultRowHeight="15" customHeight="1"/>
  <cols>
    <col min="1" max="1" width="4.08984375" customWidth="1"/>
    <col min="2" max="2" width="75" customWidth="1"/>
    <col min="3" max="3" width="44.26953125" customWidth="1"/>
    <col min="4" max="4" width="49" customWidth="1"/>
    <col min="5" max="5" width="10.54296875" customWidth="1"/>
    <col min="6" max="7" width="8.7265625" customWidth="1"/>
  </cols>
  <sheetData>
    <row r="1" spans="1:27" ht="18.75" customHeight="1">
      <c r="A1" s="1" t="s">
        <v>0</v>
      </c>
      <c r="B1" s="1" t="s">
        <v>1</v>
      </c>
      <c r="C1" s="2" t="s">
        <v>2</v>
      </c>
      <c r="D1" s="1" t="s">
        <v>3</v>
      </c>
      <c r="E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7" ht="16.5" customHeight="1">
      <c r="A2" s="4">
        <v>1</v>
      </c>
      <c r="B2" s="5" t="s">
        <v>4</v>
      </c>
      <c r="C2" s="5" t="s">
        <v>5</v>
      </c>
      <c r="D2" s="6" t="s">
        <v>6</v>
      </c>
      <c r="E2" s="7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7" ht="14.25" customHeight="1">
      <c r="A3" s="8">
        <v>2</v>
      </c>
      <c r="B3" s="5" t="s">
        <v>8</v>
      </c>
      <c r="C3" s="9" t="s">
        <v>9</v>
      </c>
      <c r="D3" s="7" t="s">
        <v>10</v>
      </c>
      <c r="E3" s="7" t="s">
        <v>7</v>
      </c>
      <c r="F3" s="3"/>
      <c r="G3" s="3"/>
    </row>
    <row r="4" spans="1:27" ht="15.5">
      <c r="A4" s="8">
        <v>3</v>
      </c>
      <c r="B4" s="9" t="s">
        <v>11</v>
      </c>
      <c r="C4" s="9" t="s">
        <v>12</v>
      </c>
      <c r="D4" s="7" t="s">
        <v>13</v>
      </c>
      <c r="E4" s="7" t="s">
        <v>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4.25" customHeight="1">
      <c r="A5" s="10">
        <v>4</v>
      </c>
      <c r="B5" s="5" t="s">
        <v>14</v>
      </c>
      <c r="C5" s="5" t="s">
        <v>15</v>
      </c>
      <c r="D5" s="5" t="s">
        <v>16</v>
      </c>
      <c r="E5" s="5" t="s">
        <v>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7" ht="14.25" customHeight="1">
      <c r="A6" s="10">
        <v>5</v>
      </c>
      <c r="B6" s="5" t="s">
        <v>18</v>
      </c>
      <c r="C6" s="5" t="s">
        <v>19</v>
      </c>
      <c r="D6" s="5" t="s">
        <v>20</v>
      </c>
      <c r="E6" s="5" t="s">
        <v>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7" ht="14.25" customHeight="1">
      <c r="A7" s="10">
        <v>6</v>
      </c>
      <c r="B7" s="5" t="s">
        <v>21</v>
      </c>
      <c r="C7" s="5" t="s">
        <v>22</v>
      </c>
      <c r="D7" s="5" t="s">
        <v>23</v>
      </c>
      <c r="E7" s="5" t="s">
        <v>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7" ht="14.25" customHeight="1">
      <c r="A8" s="3"/>
      <c r="B8" s="3"/>
      <c r="C8" s="11"/>
      <c r="D8" s="11"/>
      <c r="E8" s="1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7" ht="14.25" customHeight="1">
      <c r="A9" s="3"/>
      <c r="B9" s="3"/>
      <c r="C9" s="11"/>
      <c r="D9" s="11"/>
      <c r="E9" s="1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7" ht="14.25" customHeight="1">
      <c r="A10" s="3"/>
      <c r="B10" s="3"/>
      <c r="C10" s="11"/>
      <c r="D10" s="11"/>
      <c r="E10" s="1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7" ht="14.25" customHeight="1">
      <c r="A11" s="3"/>
      <c r="B11" s="3"/>
      <c r="C11" s="11"/>
      <c r="D11" s="11"/>
      <c r="E11" s="1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7" ht="14.25" customHeight="1">
      <c r="A12" s="12"/>
      <c r="B12" s="13"/>
      <c r="C12" s="11" t="s">
        <v>24</v>
      </c>
      <c r="D12" s="11"/>
      <c r="E12" s="1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7" ht="14.25" customHeight="1">
      <c r="A13" s="14"/>
      <c r="B13" s="15"/>
      <c r="C13" s="11" t="s">
        <v>25</v>
      </c>
      <c r="D13" s="11"/>
      <c r="E13" s="1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7" ht="14.25" customHeight="1">
      <c r="A14" s="16"/>
      <c r="B14" s="17"/>
      <c r="C14" s="11" t="s">
        <v>26</v>
      </c>
      <c r="D14" s="11"/>
      <c r="E14" s="1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7" ht="14.25" customHeight="1">
      <c r="A15" s="3"/>
      <c r="B15" s="3"/>
      <c r="C15" s="11"/>
      <c r="D15" s="11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7" ht="14.25" customHeight="1">
      <c r="A16" s="3"/>
      <c r="B16" s="3"/>
      <c r="C16" s="11"/>
      <c r="D16" s="11"/>
      <c r="E16" s="1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>
      <c r="A17" s="3"/>
      <c r="B17" s="3"/>
      <c r="C17" s="11"/>
      <c r="D17" s="11"/>
      <c r="E17" s="1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>
      <c r="A18" s="3"/>
      <c r="B18" s="3"/>
      <c r="C18" s="11"/>
      <c r="D18" s="11"/>
      <c r="E18" s="1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>
      <c r="A19" s="3"/>
      <c r="B19" s="3"/>
      <c r="C19" s="11"/>
      <c r="D19" s="11"/>
      <c r="E19" s="1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>
      <c r="A20" s="3"/>
      <c r="B20" s="3"/>
      <c r="C20" s="11"/>
      <c r="D20" s="11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customHeight="1">
      <c r="A21" s="3"/>
      <c r="B21" s="3"/>
      <c r="C21" s="11"/>
      <c r="D21" s="11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>
      <c r="A22" s="3"/>
      <c r="B22" s="3"/>
      <c r="C22" s="11"/>
      <c r="D22" s="11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>
      <c r="A23" s="3"/>
      <c r="B23" s="3"/>
      <c r="C23" s="11"/>
      <c r="D23" s="11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customHeight="1">
      <c r="A24" s="3"/>
      <c r="B24" s="3"/>
      <c r="C24" s="11"/>
      <c r="D24" s="11"/>
      <c r="E24" s="1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customHeight="1">
      <c r="A25" s="3"/>
      <c r="B25" s="3"/>
      <c r="C25" s="11"/>
      <c r="D25" s="11"/>
      <c r="E25" s="1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customHeight="1">
      <c r="A26" s="3"/>
      <c r="B26" s="3"/>
      <c r="C26" s="11"/>
      <c r="D26" s="11"/>
      <c r="E26" s="1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4.25" customHeight="1">
      <c r="A27" s="3"/>
      <c r="B27" s="3"/>
      <c r="C27" s="11"/>
      <c r="D27" s="11"/>
      <c r="E27" s="1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4.25" customHeight="1">
      <c r="A28" s="3"/>
      <c r="B28" s="3"/>
      <c r="C28" s="11"/>
      <c r="D28" s="11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4.25" customHeight="1">
      <c r="A29" s="3"/>
      <c r="B29" s="3"/>
      <c r="C29" s="11"/>
      <c r="D29" s="11"/>
      <c r="E29" s="1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4.25" customHeight="1">
      <c r="A30" s="3"/>
      <c r="B30" s="3"/>
      <c r="C30" s="11"/>
      <c r="D30" s="11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4.25" customHeight="1">
      <c r="A31" s="3"/>
      <c r="B31" s="3"/>
      <c r="C31" s="11"/>
      <c r="D31" s="11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4.25" customHeight="1">
      <c r="A32" s="3"/>
      <c r="B32" s="3"/>
      <c r="C32" s="11"/>
      <c r="D32" s="11"/>
      <c r="E32" s="1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4.25" customHeight="1">
      <c r="A33" s="3"/>
      <c r="B33" s="3"/>
      <c r="C33" s="11"/>
      <c r="D33" s="11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4.25" customHeight="1">
      <c r="A34" s="3"/>
      <c r="B34" s="3"/>
      <c r="C34" s="11"/>
      <c r="D34" s="11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4.25" customHeight="1">
      <c r="A35" s="3"/>
      <c r="B35" s="3"/>
      <c r="C35" s="11"/>
      <c r="D35" s="11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4.25" customHeight="1">
      <c r="A36" s="3"/>
      <c r="B36" s="3"/>
      <c r="C36" s="11"/>
      <c r="D36" s="11"/>
      <c r="E36" s="1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4.25" customHeight="1">
      <c r="A37" s="3"/>
      <c r="B37" s="3"/>
      <c r="C37" s="11"/>
      <c r="D37" s="11"/>
      <c r="E37" s="1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4.25" customHeight="1">
      <c r="A38" s="3"/>
      <c r="B38" s="3"/>
      <c r="C38" s="11"/>
      <c r="D38" s="11"/>
      <c r="E38" s="1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4.25" customHeight="1">
      <c r="A39" s="3"/>
      <c r="B39" s="3"/>
      <c r="C39" s="11"/>
      <c r="D39" s="11"/>
      <c r="E39" s="1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4.25" customHeight="1">
      <c r="A40" s="3"/>
      <c r="B40" s="3"/>
      <c r="C40" s="11"/>
      <c r="D40" s="11"/>
      <c r="E40" s="1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4.25" customHeight="1">
      <c r="A41" s="3"/>
      <c r="B41" s="3"/>
      <c r="C41" s="11"/>
      <c r="D41" s="11"/>
      <c r="E41" s="1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25" customHeight="1">
      <c r="A42" s="3"/>
      <c r="B42" s="3"/>
      <c r="C42" s="11"/>
      <c r="D42" s="11"/>
      <c r="E42" s="1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4.25" customHeight="1">
      <c r="A43" s="3"/>
      <c r="B43" s="3"/>
      <c r="C43" s="11"/>
      <c r="D43" s="11"/>
      <c r="E43" s="1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4.25" customHeight="1">
      <c r="A44" s="3"/>
      <c r="B44" s="3"/>
      <c r="C44" s="11"/>
      <c r="D44" s="11"/>
      <c r="E44" s="1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4.25" customHeight="1">
      <c r="A45" s="3"/>
      <c r="B45" s="3"/>
      <c r="C45" s="11"/>
      <c r="D45" s="11"/>
      <c r="E45" s="1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4.25" customHeight="1">
      <c r="A46" s="3"/>
      <c r="B46" s="3"/>
      <c r="C46" s="11"/>
      <c r="D46" s="11"/>
      <c r="E46" s="1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25" customHeight="1">
      <c r="A47" s="3"/>
      <c r="B47" s="3"/>
      <c r="C47" s="11"/>
      <c r="D47" s="11"/>
      <c r="E47" s="1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4.25" customHeight="1">
      <c r="A48" s="3"/>
      <c r="B48" s="3"/>
      <c r="C48" s="11"/>
      <c r="D48" s="11"/>
      <c r="E48" s="1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4.25" customHeight="1">
      <c r="A49" s="3"/>
      <c r="B49" s="3"/>
      <c r="C49" s="11"/>
      <c r="D49" s="11"/>
      <c r="E49" s="1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4.25" customHeight="1">
      <c r="A50" s="3"/>
      <c r="B50" s="3"/>
      <c r="C50" s="11"/>
      <c r="D50" s="11"/>
      <c r="E50" s="1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4.25" customHeight="1">
      <c r="A51" s="3"/>
      <c r="B51" s="3"/>
      <c r="C51" s="11"/>
      <c r="D51" s="11"/>
      <c r="E51" s="1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4.25" customHeight="1">
      <c r="A52" s="3"/>
      <c r="B52" s="3"/>
      <c r="C52" s="11"/>
      <c r="D52" s="11"/>
      <c r="E52" s="1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25" customHeight="1">
      <c r="A53" s="3"/>
      <c r="B53" s="3"/>
      <c r="C53" s="11"/>
      <c r="D53" s="11"/>
      <c r="E53" s="1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4.25" customHeight="1">
      <c r="A54" s="3"/>
      <c r="B54" s="3"/>
      <c r="C54" s="11"/>
      <c r="D54" s="11"/>
      <c r="E54" s="1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4.25" customHeight="1">
      <c r="A55" s="3"/>
      <c r="B55" s="3"/>
      <c r="C55" s="11"/>
      <c r="D55" s="11"/>
      <c r="E55" s="1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4.25" customHeight="1">
      <c r="A56" s="3"/>
      <c r="B56" s="3"/>
      <c r="C56" s="11"/>
      <c r="D56" s="11"/>
      <c r="E56" s="1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25" customHeight="1">
      <c r="A57" s="3"/>
      <c r="B57" s="3"/>
      <c r="C57" s="11"/>
      <c r="D57" s="11"/>
      <c r="E57" s="1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4.25" customHeight="1">
      <c r="A58" s="3"/>
      <c r="B58" s="3"/>
      <c r="C58" s="11"/>
      <c r="D58" s="11"/>
      <c r="E58" s="1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4.25" customHeight="1">
      <c r="A59" s="3"/>
      <c r="B59" s="3"/>
      <c r="C59" s="11"/>
      <c r="D59" s="11"/>
      <c r="E59" s="1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4.25" customHeight="1">
      <c r="A60" s="3"/>
      <c r="B60" s="3"/>
      <c r="C60" s="11"/>
      <c r="D60" s="11"/>
      <c r="E60" s="1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4.25" customHeight="1">
      <c r="A61" s="3"/>
      <c r="B61" s="3"/>
      <c r="C61" s="11"/>
      <c r="D61" s="11"/>
      <c r="E61" s="1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4.25" customHeight="1">
      <c r="A62" s="3"/>
      <c r="B62" s="3"/>
      <c r="C62" s="11"/>
      <c r="D62" s="11"/>
      <c r="E62" s="1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4.25" customHeight="1">
      <c r="A63" s="3"/>
      <c r="B63" s="3"/>
      <c r="C63" s="11"/>
      <c r="D63" s="11"/>
      <c r="E63" s="1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4.25" customHeight="1">
      <c r="A64" s="3"/>
      <c r="B64" s="3"/>
      <c r="C64" s="11"/>
      <c r="D64" s="11"/>
      <c r="E64" s="1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4.25" customHeight="1">
      <c r="A65" s="3"/>
      <c r="B65" s="3"/>
      <c r="C65" s="11"/>
      <c r="D65" s="11"/>
      <c r="E65" s="1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4.25" customHeight="1">
      <c r="A66" s="3"/>
      <c r="B66" s="3"/>
      <c r="C66" s="11"/>
      <c r="D66" s="11"/>
      <c r="E66" s="1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4.25" customHeight="1">
      <c r="A67" s="3"/>
      <c r="B67" s="3"/>
      <c r="C67" s="11"/>
      <c r="D67" s="11"/>
      <c r="E67" s="1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4.25" customHeight="1">
      <c r="A68" s="3"/>
      <c r="B68" s="3"/>
      <c r="C68" s="11"/>
      <c r="D68" s="11"/>
      <c r="E68" s="1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4.25" customHeight="1">
      <c r="A69" s="3"/>
      <c r="B69" s="3"/>
      <c r="C69" s="11"/>
      <c r="D69" s="11"/>
      <c r="E69" s="1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25" customHeight="1">
      <c r="A70" s="3"/>
      <c r="B70" s="3"/>
      <c r="C70" s="11"/>
      <c r="D70" s="11"/>
      <c r="E70" s="1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25" customHeight="1">
      <c r="A71" s="3"/>
      <c r="B71" s="3"/>
      <c r="C71" s="11"/>
      <c r="D71" s="11"/>
      <c r="E71" s="1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4.25" customHeight="1">
      <c r="A72" s="3"/>
      <c r="B72" s="3"/>
      <c r="C72" s="11"/>
      <c r="D72" s="11"/>
      <c r="E72" s="1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4.25" customHeight="1">
      <c r="A73" s="3"/>
      <c r="B73" s="3"/>
      <c r="C73" s="11"/>
      <c r="D73" s="11"/>
      <c r="E73" s="1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4.25" customHeight="1">
      <c r="A74" s="3"/>
      <c r="B74" s="3"/>
      <c r="C74" s="11"/>
      <c r="D74" s="11"/>
      <c r="E74" s="1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25" customHeight="1">
      <c r="A75" s="3"/>
      <c r="B75" s="3"/>
      <c r="C75" s="11"/>
      <c r="D75" s="11"/>
      <c r="E75" s="1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4.25" customHeight="1">
      <c r="A76" s="3"/>
      <c r="B76" s="3"/>
      <c r="C76" s="11"/>
      <c r="D76" s="11"/>
      <c r="E76" s="1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4.25" customHeight="1">
      <c r="A77" s="3"/>
      <c r="B77" s="3"/>
      <c r="C77" s="11"/>
      <c r="D77" s="11"/>
      <c r="E77" s="1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4.25" customHeight="1">
      <c r="A78" s="3"/>
      <c r="B78" s="3"/>
      <c r="C78" s="11"/>
      <c r="D78" s="11"/>
      <c r="E78" s="1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4.25" customHeight="1">
      <c r="A79" s="3"/>
      <c r="B79" s="3"/>
      <c r="C79" s="11"/>
      <c r="D79" s="11"/>
      <c r="E79" s="1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4.25" customHeight="1">
      <c r="A80" s="3"/>
      <c r="B80" s="3"/>
      <c r="C80" s="11"/>
      <c r="D80" s="11"/>
      <c r="E80" s="1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4.25" customHeight="1">
      <c r="A81" s="3"/>
      <c r="B81" s="3"/>
      <c r="C81" s="11"/>
      <c r="D81" s="11"/>
      <c r="E81" s="1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4.25" customHeight="1">
      <c r="A82" s="3"/>
      <c r="B82" s="3"/>
      <c r="C82" s="11"/>
      <c r="D82" s="11"/>
      <c r="E82" s="1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4.25" customHeight="1">
      <c r="A83" s="3"/>
      <c r="B83" s="3"/>
      <c r="C83" s="11"/>
      <c r="D83" s="11"/>
      <c r="E83" s="1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4.25" customHeight="1">
      <c r="A84" s="3"/>
      <c r="B84" s="3"/>
      <c r="C84" s="11"/>
      <c r="D84" s="11"/>
      <c r="E84" s="1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4.25" customHeight="1">
      <c r="A85" s="3"/>
      <c r="B85" s="3"/>
      <c r="C85" s="11"/>
      <c r="D85" s="11"/>
      <c r="E85" s="1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4.25" customHeight="1">
      <c r="A86" s="3"/>
      <c r="B86" s="3"/>
      <c r="C86" s="11"/>
      <c r="D86" s="11"/>
      <c r="E86" s="1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4.25" customHeight="1">
      <c r="A87" s="3"/>
      <c r="B87" s="3"/>
      <c r="C87" s="11"/>
      <c r="D87" s="11"/>
      <c r="E87" s="1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4.25" customHeight="1">
      <c r="A88" s="3"/>
      <c r="B88" s="3"/>
      <c r="C88" s="11"/>
      <c r="D88" s="11"/>
      <c r="E88" s="1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4.25" customHeight="1">
      <c r="A89" s="3"/>
      <c r="B89" s="3"/>
      <c r="C89" s="11"/>
      <c r="D89" s="11"/>
      <c r="E89" s="1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4.25" customHeight="1">
      <c r="A90" s="3"/>
      <c r="B90" s="3"/>
      <c r="C90" s="11"/>
      <c r="D90" s="11"/>
      <c r="E90" s="1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4.25" customHeight="1">
      <c r="A91" s="3"/>
      <c r="B91" s="3"/>
      <c r="C91" s="11"/>
      <c r="D91" s="11"/>
      <c r="E91" s="1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4.25" customHeight="1">
      <c r="A92" s="3"/>
      <c r="B92" s="3"/>
      <c r="C92" s="11"/>
      <c r="D92" s="11"/>
      <c r="E92" s="1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4.25" customHeight="1">
      <c r="A93" s="3"/>
      <c r="B93" s="3"/>
      <c r="C93" s="11"/>
      <c r="D93" s="11"/>
      <c r="E93" s="1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4.25" customHeight="1">
      <c r="A94" s="3"/>
      <c r="B94" s="3"/>
      <c r="C94" s="11"/>
      <c r="D94" s="11"/>
      <c r="E94" s="1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4.25" customHeight="1">
      <c r="A95" s="3"/>
      <c r="B95" s="3"/>
      <c r="C95" s="11"/>
      <c r="D95" s="11"/>
      <c r="E95" s="1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4.25" customHeight="1">
      <c r="A96" s="3"/>
      <c r="B96" s="3"/>
      <c r="C96" s="11"/>
      <c r="D96" s="11"/>
      <c r="E96" s="1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4.25" customHeight="1">
      <c r="A97" s="3"/>
      <c r="B97" s="3"/>
      <c r="C97" s="11"/>
      <c r="D97" s="11"/>
      <c r="E97" s="1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4.25" customHeight="1">
      <c r="A98" s="3"/>
      <c r="B98" s="3"/>
      <c r="C98" s="11"/>
      <c r="D98" s="11"/>
      <c r="E98" s="1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4.25" customHeight="1">
      <c r="A99" s="3"/>
      <c r="B99" s="3"/>
      <c r="C99" s="11"/>
      <c r="D99" s="11"/>
      <c r="E99" s="1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4.25" customHeight="1">
      <c r="A100" s="3"/>
      <c r="B100" s="3"/>
      <c r="C100" s="11"/>
      <c r="D100" s="11"/>
      <c r="E100" s="1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4.25" customHeight="1">
      <c r="A101" s="3"/>
      <c r="B101" s="3"/>
      <c r="C101" s="11"/>
      <c r="D101" s="11"/>
      <c r="E101" s="1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25" customHeight="1">
      <c r="A102" s="3"/>
      <c r="B102" s="3"/>
      <c r="C102" s="11"/>
      <c r="D102" s="11"/>
      <c r="E102" s="1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25" customHeight="1">
      <c r="A103" s="3"/>
      <c r="B103" s="3"/>
      <c r="C103" s="11"/>
      <c r="D103" s="11"/>
      <c r="E103" s="1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25" customHeight="1">
      <c r="A104" s="3"/>
      <c r="B104" s="3"/>
      <c r="C104" s="11"/>
      <c r="D104" s="11"/>
      <c r="E104" s="1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25" customHeight="1">
      <c r="A105" s="3"/>
      <c r="B105" s="3"/>
      <c r="C105" s="11"/>
      <c r="D105" s="11"/>
      <c r="E105" s="1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25" customHeight="1">
      <c r="A106" s="3"/>
      <c r="B106" s="3"/>
      <c r="C106" s="11"/>
      <c r="D106" s="11"/>
      <c r="E106" s="1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25" customHeight="1">
      <c r="A107" s="3"/>
      <c r="B107" s="3"/>
      <c r="C107" s="11"/>
      <c r="D107" s="11"/>
      <c r="E107" s="1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25" customHeight="1">
      <c r="A108" s="3"/>
      <c r="B108" s="3"/>
      <c r="C108" s="11"/>
      <c r="D108" s="11"/>
      <c r="E108" s="1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25" customHeight="1">
      <c r="A109" s="3"/>
      <c r="B109" s="3"/>
      <c r="C109" s="11"/>
      <c r="D109" s="11"/>
      <c r="E109" s="1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25" customHeight="1">
      <c r="A110" s="3"/>
      <c r="B110" s="3"/>
      <c r="C110" s="11"/>
      <c r="D110" s="11"/>
      <c r="E110" s="1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25" customHeight="1">
      <c r="A111" s="3"/>
      <c r="B111" s="3"/>
      <c r="C111" s="11"/>
      <c r="D111" s="11"/>
      <c r="E111" s="1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25" customHeight="1">
      <c r="A112" s="3"/>
      <c r="B112" s="3"/>
      <c r="C112" s="11"/>
      <c r="D112" s="11"/>
      <c r="E112" s="1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25" customHeight="1">
      <c r="A113" s="3"/>
      <c r="B113" s="3"/>
      <c r="C113" s="11"/>
      <c r="D113" s="11"/>
      <c r="E113" s="1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25" customHeight="1">
      <c r="A114" s="3"/>
      <c r="B114" s="3"/>
      <c r="C114" s="11"/>
      <c r="D114" s="11"/>
      <c r="E114" s="1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customHeight="1">
      <c r="A115" s="3"/>
      <c r="B115" s="3"/>
      <c r="C115" s="11"/>
      <c r="D115" s="11"/>
      <c r="E115" s="1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25" customHeight="1">
      <c r="A116" s="3"/>
      <c r="B116" s="3"/>
      <c r="C116" s="11"/>
      <c r="D116" s="11"/>
      <c r="E116" s="1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25" customHeight="1">
      <c r="A117" s="3"/>
      <c r="B117" s="3"/>
      <c r="C117" s="11"/>
      <c r="D117" s="11"/>
      <c r="E117" s="1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25" customHeight="1">
      <c r="A118" s="3"/>
      <c r="B118" s="3"/>
      <c r="C118" s="11"/>
      <c r="D118" s="11"/>
      <c r="E118" s="1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25" customHeight="1">
      <c r="A119" s="3"/>
      <c r="B119" s="3"/>
      <c r="C119" s="11"/>
      <c r="D119" s="11"/>
      <c r="E119" s="1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25" customHeight="1">
      <c r="A120" s="3"/>
      <c r="B120" s="3"/>
      <c r="C120" s="11"/>
      <c r="D120" s="11"/>
      <c r="E120" s="1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25" customHeight="1">
      <c r="A121" s="3"/>
      <c r="B121" s="3"/>
      <c r="C121" s="11"/>
      <c r="D121" s="11"/>
      <c r="E121" s="1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25" customHeight="1">
      <c r="A122" s="3"/>
      <c r="B122" s="3"/>
      <c r="C122" s="11"/>
      <c r="D122" s="11"/>
      <c r="E122" s="1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25" customHeight="1">
      <c r="A123" s="3"/>
      <c r="B123" s="3"/>
      <c r="C123" s="11"/>
      <c r="D123" s="11"/>
      <c r="E123" s="1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25" customHeight="1">
      <c r="A124" s="3"/>
      <c r="B124" s="3"/>
      <c r="C124" s="11"/>
      <c r="D124" s="11"/>
      <c r="E124" s="1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25" customHeight="1">
      <c r="A125" s="3"/>
      <c r="B125" s="3"/>
      <c r="C125" s="11"/>
      <c r="D125" s="11"/>
      <c r="E125" s="1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25" customHeight="1">
      <c r="A126" s="3"/>
      <c r="B126" s="3"/>
      <c r="C126" s="11"/>
      <c r="D126" s="11"/>
      <c r="E126" s="1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25" customHeight="1">
      <c r="A127" s="3"/>
      <c r="B127" s="3"/>
      <c r="C127" s="11"/>
      <c r="D127" s="11"/>
      <c r="E127" s="1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25" customHeight="1">
      <c r="A128" s="3"/>
      <c r="B128" s="3"/>
      <c r="C128" s="11"/>
      <c r="D128" s="11"/>
      <c r="E128" s="1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25" customHeight="1">
      <c r="A129" s="3"/>
      <c r="B129" s="3"/>
      <c r="C129" s="11"/>
      <c r="D129" s="11"/>
      <c r="E129" s="1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25" customHeight="1">
      <c r="A130" s="3"/>
      <c r="B130" s="3"/>
      <c r="C130" s="11"/>
      <c r="D130" s="11"/>
      <c r="E130" s="1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25" customHeight="1">
      <c r="A131" s="3"/>
      <c r="B131" s="3"/>
      <c r="C131" s="11"/>
      <c r="D131" s="11"/>
      <c r="E131" s="1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25" customHeight="1">
      <c r="A132" s="3"/>
      <c r="B132" s="3"/>
      <c r="C132" s="11"/>
      <c r="D132" s="11"/>
      <c r="E132" s="1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25" customHeight="1">
      <c r="A133" s="3"/>
      <c r="B133" s="3"/>
      <c r="C133" s="11"/>
      <c r="D133" s="11"/>
      <c r="E133" s="1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25" customHeight="1">
      <c r="A134" s="3"/>
      <c r="B134" s="3"/>
      <c r="C134" s="11"/>
      <c r="D134" s="11"/>
      <c r="E134" s="1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25" customHeight="1">
      <c r="A135" s="3"/>
      <c r="B135" s="3"/>
      <c r="C135" s="11"/>
      <c r="D135" s="11"/>
      <c r="E135" s="1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25" customHeight="1">
      <c r="A136" s="3"/>
      <c r="B136" s="3"/>
      <c r="C136" s="11"/>
      <c r="D136" s="11"/>
      <c r="E136" s="1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25" customHeight="1">
      <c r="A137" s="3"/>
      <c r="B137" s="3"/>
      <c r="C137" s="11"/>
      <c r="D137" s="11"/>
      <c r="E137" s="1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25" customHeight="1">
      <c r="A138" s="3"/>
      <c r="B138" s="3"/>
      <c r="C138" s="11"/>
      <c r="D138" s="11"/>
      <c r="E138" s="1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25" customHeight="1">
      <c r="A139" s="3"/>
      <c r="B139" s="3"/>
      <c r="C139" s="11"/>
      <c r="D139" s="11"/>
      <c r="E139" s="1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25" customHeight="1">
      <c r="A140" s="3"/>
      <c r="B140" s="3"/>
      <c r="C140" s="11"/>
      <c r="D140" s="11"/>
      <c r="E140" s="1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25" customHeight="1">
      <c r="A141" s="3"/>
      <c r="B141" s="3"/>
      <c r="C141" s="11"/>
      <c r="D141" s="11"/>
      <c r="E141" s="1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25" customHeight="1">
      <c r="A142" s="3"/>
      <c r="B142" s="3"/>
      <c r="C142" s="11"/>
      <c r="D142" s="11"/>
      <c r="E142" s="1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25" customHeight="1">
      <c r="A143" s="3"/>
      <c r="B143" s="3"/>
      <c r="C143" s="11"/>
      <c r="D143" s="11"/>
      <c r="E143" s="1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25" customHeight="1">
      <c r="A144" s="3"/>
      <c r="B144" s="3"/>
      <c r="C144" s="11"/>
      <c r="D144" s="11"/>
      <c r="E144" s="1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25" customHeight="1">
      <c r="A145" s="3"/>
      <c r="B145" s="3"/>
      <c r="C145" s="11"/>
      <c r="D145" s="11"/>
      <c r="E145" s="1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25" customHeight="1">
      <c r="A146" s="3"/>
      <c r="B146" s="3"/>
      <c r="C146" s="11"/>
      <c r="D146" s="11"/>
      <c r="E146" s="1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25" customHeight="1">
      <c r="A147" s="3"/>
      <c r="B147" s="3"/>
      <c r="C147" s="11"/>
      <c r="D147" s="11"/>
      <c r="E147" s="1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25" customHeight="1">
      <c r="A148" s="3"/>
      <c r="B148" s="3"/>
      <c r="C148" s="11"/>
      <c r="D148" s="11"/>
      <c r="E148" s="1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25" customHeight="1">
      <c r="A149" s="3"/>
      <c r="B149" s="3"/>
      <c r="C149" s="11"/>
      <c r="D149" s="11"/>
      <c r="E149" s="1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customHeight="1">
      <c r="A150" s="3"/>
      <c r="B150" s="3"/>
      <c r="C150" s="11"/>
      <c r="D150" s="11"/>
      <c r="E150" s="1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25" customHeight="1">
      <c r="A151" s="3"/>
      <c r="B151" s="3"/>
      <c r="C151" s="11"/>
      <c r="D151" s="11"/>
      <c r="E151" s="1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25" customHeight="1">
      <c r="A152" s="3"/>
      <c r="B152" s="3"/>
      <c r="C152" s="11"/>
      <c r="D152" s="11"/>
      <c r="E152" s="1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25" customHeight="1">
      <c r="A153" s="3"/>
      <c r="B153" s="3"/>
      <c r="C153" s="11"/>
      <c r="D153" s="11"/>
      <c r="E153" s="1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25" customHeight="1">
      <c r="A154" s="3"/>
      <c r="B154" s="3"/>
      <c r="C154" s="11"/>
      <c r="D154" s="11"/>
      <c r="E154" s="1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25" customHeight="1">
      <c r="A155" s="3"/>
      <c r="B155" s="3"/>
      <c r="C155" s="11"/>
      <c r="D155" s="11"/>
      <c r="E155" s="1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25" customHeight="1">
      <c r="A156" s="3"/>
      <c r="B156" s="3"/>
      <c r="C156" s="11"/>
      <c r="D156" s="11"/>
      <c r="E156" s="1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25" customHeight="1">
      <c r="A157" s="3"/>
      <c r="B157" s="3"/>
      <c r="C157" s="11"/>
      <c r="D157" s="11"/>
      <c r="E157" s="1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25" customHeight="1">
      <c r="A158" s="3"/>
      <c r="B158" s="3"/>
      <c r="C158" s="11"/>
      <c r="D158" s="11"/>
      <c r="E158" s="1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25" customHeight="1">
      <c r="A159" s="3"/>
      <c r="B159" s="3"/>
      <c r="C159" s="11"/>
      <c r="D159" s="11"/>
      <c r="E159" s="1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25" customHeight="1">
      <c r="A160" s="3"/>
      <c r="B160" s="3"/>
      <c r="C160" s="11"/>
      <c r="D160" s="11"/>
      <c r="E160" s="1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25" customHeight="1">
      <c r="A161" s="3"/>
      <c r="B161" s="3"/>
      <c r="C161" s="11"/>
      <c r="D161" s="11"/>
      <c r="E161" s="1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25" customHeight="1">
      <c r="A162" s="3"/>
      <c r="B162" s="3"/>
      <c r="C162" s="11"/>
      <c r="D162" s="11"/>
      <c r="E162" s="1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25" customHeight="1">
      <c r="A163" s="3"/>
      <c r="B163" s="3"/>
      <c r="C163" s="11"/>
      <c r="D163" s="11"/>
      <c r="E163" s="1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25" customHeight="1">
      <c r="A164" s="3"/>
      <c r="B164" s="3"/>
      <c r="C164" s="11"/>
      <c r="D164" s="11"/>
      <c r="E164" s="1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25" customHeight="1">
      <c r="A165" s="3"/>
      <c r="B165" s="3"/>
      <c r="C165" s="11"/>
      <c r="D165" s="11"/>
      <c r="E165" s="1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25" customHeight="1">
      <c r="A166" s="3"/>
      <c r="B166" s="3"/>
      <c r="C166" s="11"/>
      <c r="D166" s="11"/>
      <c r="E166" s="1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25" customHeight="1">
      <c r="A167" s="3"/>
      <c r="B167" s="3"/>
      <c r="C167" s="11"/>
      <c r="D167" s="11"/>
      <c r="E167" s="1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25" customHeight="1">
      <c r="A168" s="3"/>
      <c r="B168" s="3"/>
      <c r="C168" s="11"/>
      <c r="D168" s="11"/>
      <c r="E168" s="1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25" customHeight="1">
      <c r="A169" s="3"/>
      <c r="B169" s="3"/>
      <c r="C169" s="11"/>
      <c r="D169" s="11"/>
      <c r="E169" s="1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25" customHeight="1">
      <c r="A170" s="3"/>
      <c r="B170" s="3"/>
      <c r="C170" s="11"/>
      <c r="D170" s="11"/>
      <c r="E170" s="1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25" customHeight="1">
      <c r="A171" s="3"/>
      <c r="B171" s="3"/>
      <c r="C171" s="11"/>
      <c r="D171" s="11"/>
      <c r="E171" s="1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25" customHeight="1">
      <c r="A172" s="3"/>
      <c r="B172" s="3"/>
      <c r="C172" s="11"/>
      <c r="D172" s="11"/>
      <c r="E172" s="1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25" customHeight="1">
      <c r="A173" s="3"/>
      <c r="B173" s="3"/>
      <c r="C173" s="11"/>
      <c r="D173" s="11"/>
      <c r="E173" s="1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25" customHeight="1">
      <c r="A174" s="3"/>
      <c r="B174" s="3"/>
      <c r="C174" s="11"/>
      <c r="D174" s="11"/>
      <c r="E174" s="1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25" customHeight="1">
      <c r="A175" s="3"/>
      <c r="B175" s="3"/>
      <c r="C175" s="11"/>
      <c r="D175" s="11"/>
      <c r="E175" s="1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25" customHeight="1">
      <c r="A176" s="3"/>
      <c r="B176" s="3"/>
      <c r="C176" s="11"/>
      <c r="D176" s="11"/>
      <c r="E176" s="1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25" customHeight="1">
      <c r="A177" s="3"/>
      <c r="B177" s="3"/>
      <c r="C177" s="11"/>
      <c r="D177" s="11"/>
      <c r="E177" s="1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25" customHeight="1">
      <c r="A178" s="3"/>
      <c r="B178" s="3"/>
      <c r="C178" s="11"/>
      <c r="D178" s="11"/>
      <c r="E178" s="1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25" customHeight="1">
      <c r="A179" s="3"/>
      <c r="B179" s="3"/>
      <c r="C179" s="11"/>
      <c r="D179" s="11"/>
      <c r="E179" s="1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25" customHeight="1">
      <c r="A180" s="3"/>
      <c r="B180" s="3"/>
      <c r="C180" s="11"/>
      <c r="D180" s="11"/>
      <c r="E180" s="1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25" customHeight="1">
      <c r="A181" s="3"/>
      <c r="B181" s="3"/>
      <c r="C181" s="11"/>
      <c r="D181" s="11"/>
      <c r="E181" s="1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25" customHeight="1">
      <c r="A182" s="3"/>
      <c r="B182" s="3"/>
      <c r="C182" s="11"/>
      <c r="D182" s="11"/>
      <c r="E182" s="1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25" customHeight="1">
      <c r="A183" s="3"/>
      <c r="B183" s="3"/>
      <c r="C183" s="11"/>
      <c r="D183" s="11"/>
      <c r="E183" s="1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25" customHeight="1">
      <c r="A184" s="3"/>
      <c r="B184" s="3"/>
      <c r="C184" s="11"/>
      <c r="D184" s="11"/>
      <c r="E184" s="1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25" customHeight="1">
      <c r="A185" s="3"/>
      <c r="B185" s="3"/>
      <c r="C185" s="11"/>
      <c r="D185" s="11"/>
      <c r="E185" s="1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25" customHeight="1">
      <c r="A186" s="3"/>
      <c r="B186" s="3"/>
      <c r="C186" s="11"/>
      <c r="D186" s="11"/>
      <c r="E186" s="1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25" customHeight="1">
      <c r="A187" s="3"/>
      <c r="B187" s="3"/>
      <c r="C187" s="11"/>
      <c r="D187" s="11"/>
      <c r="E187" s="1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25" customHeight="1">
      <c r="A188" s="3"/>
      <c r="B188" s="3"/>
      <c r="C188" s="11"/>
      <c r="D188" s="11"/>
      <c r="E188" s="1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25" customHeight="1">
      <c r="A189" s="3"/>
      <c r="B189" s="3"/>
      <c r="C189" s="11"/>
      <c r="D189" s="11"/>
      <c r="E189" s="1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25" customHeight="1">
      <c r="A190" s="3"/>
      <c r="B190" s="3"/>
      <c r="C190" s="11"/>
      <c r="D190" s="11"/>
      <c r="E190" s="1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25" customHeight="1">
      <c r="A191" s="3"/>
      <c r="B191" s="3"/>
      <c r="C191" s="11"/>
      <c r="D191" s="11"/>
      <c r="E191" s="1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25" customHeight="1">
      <c r="A192" s="3"/>
      <c r="B192" s="3"/>
      <c r="C192" s="11"/>
      <c r="D192" s="11"/>
      <c r="E192" s="1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25" customHeight="1">
      <c r="A193" s="3"/>
      <c r="B193" s="3"/>
      <c r="C193" s="11"/>
      <c r="D193" s="11"/>
      <c r="E193" s="1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25" customHeight="1">
      <c r="A194" s="3"/>
      <c r="B194" s="3"/>
      <c r="C194" s="11"/>
      <c r="D194" s="11"/>
      <c r="E194" s="1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25" customHeight="1">
      <c r="A195" s="3"/>
      <c r="B195" s="3"/>
      <c r="C195" s="11"/>
      <c r="D195" s="11"/>
      <c r="E195" s="1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25" customHeight="1">
      <c r="A196" s="3"/>
      <c r="B196" s="3"/>
      <c r="C196" s="11"/>
      <c r="D196" s="11"/>
      <c r="E196" s="1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25" customHeight="1">
      <c r="A197" s="3"/>
      <c r="B197" s="3"/>
      <c r="C197" s="11"/>
      <c r="D197" s="11"/>
      <c r="E197" s="1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25" customHeight="1">
      <c r="A198" s="3"/>
      <c r="B198" s="3"/>
      <c r="C198" s="11"/>
      <c r="D198" s="11"/>
      <c r="E198" s="1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25" customHeight="1">
      <c r="A199" s="3"/>
      <c r="B199" s="3"/>
      <c r="C199" s="11"/>
      <c r="D199" s="11"/>
      <c r="E199" s="1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25" customHeight="1">
      <c r="A200" s="3"/>
      <c r="B200" s="3"/>
      <c r="C200" s="11"/>
      <c r="D200" s="11"/>
      <c r="E200" s="1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25" customHeight="1">
      <c r="A201" s="3"/>
      <c r="B201" s="3"/>
      <c r="C201" s="11"/>
      <c r="D201" s="11"/>
      <c r="E201" s="1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25" customHeight="1">
      <c r="A202" s="3"/>
      <c r="B202" s="3"/>
      <c r="C202" s="11"/>
      <c r="D202" s="11"/>
      <c r="E202" s="1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25" customHeight="1">
      <c r="A203" s="3"/>
      <c r="B203" s="3"/>
      <c r="C203" s="11"/>
      <c r="D203" s="11"/>
      <c r="E203" s="1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25" customHeight="1">
      <c r="A204" s="3"/>
      <c r="B204" s="3"/>
      <c r="C204" s="11"/>
      <c r="D204" s="11"/>
      <c r="E204" s="1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25" customHeight="1">
      <c r="A205" s="3"/>
      <c r="B205" s="3"/>
      <c r="C205" s="11"/>
      <c r="D205" s="11"/>
      <c r="E205" s="1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25" customHeight="1">
      <c r="A206" s="3"/>
      <c r="B206" s="3"/>
      <c r="C206" s="11"/>
      <c r="D206" s="11"/>
      <c r="E206" s="1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25" customHeight="1">
      <c r="A207" s="3"/>
      <c r="B207" s="3"/>
      <c r="C207" s="11"/>
      <c r="D207" s="11"/>
      <c r="E207" s="1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25" customHeight="1">
      <c r="A208" s="3"/>
      <c r="B208" s="3"/>
      <c r="C208" s="11"/>
      <c r="D208" s="11"/>
      <c r="E208" s="1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25" customHeight="1">
      <c r="A209" s="3"/>
      <c r="B209" s="3"/>
      <c r="C209" s="11"/>
      <c r="D209" s="11"/>
      <c r="E209" s="1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25" customHeight="1">
      <c r="A210" s="3"/>
      <c r="B210" s="3"/>
      <c r="C210" s="11"/>
      <c r="D210" s="11"/>
      <c r="E210" s="1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25" customHeight="1">
      <c r="A211" s="3"/>
      <c r="B211" s="3"/>
      <c r="C211" s="11"/>
      <c r="D211" s="11"/>
      <c r="E211" s="1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25" customHeight="1">
      <c r="A212" s="3"/>
      <c r="B212" s="3"/>
      <c r="C212" s="11"/>
      <c r="D212" s="11"/>
      <c r="E212" s="1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25" customHeight="1">
      <c r="A213" s="3"/>
      <c r="B213" s="3"/>
      <c r="C213" s="11"/>
      <c r="D213" s="11"/>
      <c r="E213" s="1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25" customHeight="1">
      <c r="A214" s="3"/>
      <c r="B214" s="3"/>
      <c r="C214" s="11"/>
      <c r="D214" s="11"/>
      <c r="E214" s="1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25" customHeight="1">
      <c r="A215" s="3"/>
      <c r="B215" s="3"/>
      <c r="C215" s="11"/>
      <c r="D215" s="11"/>
      <c r="E215" s="1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25" customHeight="1">
      <c r="A216" s="3"/>
      <c r="B216" s="3"/>
      <c r="C216" s="11"/>
      <c r="D216" s="11"/>
      <c r="E216" s="1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25" customHeight="1">
      <c r="A217" s="3"/>
      <c r="B217" s="3"/>
      <c r="C217" s="11"/>
      <c r="D217" s="11"/>
      <c r="E217" s="1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25" customHeight="1">
      <c r="A218" s="3"/>
      <c r="B218" s="3"/>
      <c r="C218" s="11"/>
      <c r="D218" s="11"/>
      <c r="E218" s="1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25" customHeight="1">
      <c r="A219" s="3"/>
      <c r="B219" s="3"/>
      <c r="C219" s="11"/>
      <c r="D219" s="11"/>
      <c r="E219" s="1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C220" s="18"/>
      <c r="D220" s="18"/>
      <c r="E220" s="18"/>
    </row>
    <row r="221" spans="1:25" ht="15.75" customHeight="1">
      <c r="C221" s="18"/>
      <c r="D221" s="18"/>
      <c r="E221" s="18"/>
    </row>
    <row r="222" spans="1:25" ht="15.75" customHeight="1">
      <c r="C222" s="18"/>
      <c r="D222" s="18"/>
      <c r="E222" s="18"/>
    </row>
    <row r="223" spans="1:25" ht="15.75" customHeight="1">
      <c r="C223" s="18"/>
      <c r="D223" s="18"/>
      <c r="E223" s="18"/>
    </row>
    <row r="224" spans="1:25" ht="15.75" customHeight="1">
      <c r="C224" s="18"/>
      <c r="D224" s="18"/>
      <c r="E224" s="18"/>
    </row>
    <row r="225" spans="3:5" ht="15.75" customHeight="1">
      <c r="C225" s="18"/>
      <c r="D225" s="18"/>
      <c r="E225" s="18"/>
    </row>
    <row r="226" spans="3:5" ht="15.75" customHeight="1">
      <c r="C226" s="18"/>
      <c r="D226" s="18"/>
      <c r="E226" s="18"/>
    </row>
    <row r="227" spans="3:5" ht="15.75" customHeight="1">
      <c r="C227" s="18"/>
      <c r="D227" s="18"/>
      <c r="E227" s="18"/>
    </row>
    <row r="228" spans="3:5" ht="15.75" customHeight="1">
      <c r="C228" s="18"/>
      <c r="D228" s="18"/>
      <c r="E228" s="18"/>
    </row>
    <row r="229" spans="3:5" ht="15.75" customHeight="1">
      <c r="C229" s="18"/>
      <c r="D229" s="18"/>
      <c r="E229" s="18"/>
    </row>
    <row r="230" spans="3:5" ht="15.75" customHeight="1">
      <c r="C230" s="18"/>
      <c r="D230" s="18"/>
      <c r="E230" s="18"/>
    </row>
    <row r="231" spans="3:5" ht="15.75" customHeight="1">
      <c r="C231" s="18"/>
      <c r="D231" s="18"/>
      <c r="E231" s="18"/>
    </row>
    <row r="232" spans="3:5" ht="15.75" customHeight="1">
      <c r="C232" s="18"/>
      <c r="D232" s="18"/>
      <c r="E232" s="18"/>
    </row>
    <row r="233" spans="3:5" ht="15.75" customHeight="1">
      <c r="C233" s="18"/>
      <c r="D233" s="18"/>
      <c r="E233" s="18"/>
    </row>
    <row r="234" spans="3:5" ht="15.75" customHeight="1">
      <c r="C234" s="18"/>
      <c r="D234" s="18"/>
      <c r="E234" s="18"/>
    </row>
    <row r="235" spans="3:5" ht="15.75" customHeight="1">
      <c r="C235" s="18"/>
      <c r="D235" s="18"/>
      <c r="E235" s="18"/>
    </row>
    <row r="236" spans="3:5" ht="15.75" customHeight="1">
      <c r="C236" s="18"/>
      <c r="D236" s="18"/>
      <c r="E236" s="18"/>
    </row>
    <row r="237" spans="3:5" ht="15.75" customHeight="1">
      <c r="C237" s="18"/>
      <c r="D237" s="18"/>
      <c r="E237" s="18"/>
    </row>
    <row r="238" spans="3:5" ht="15.75" customHeight="1">
      <c r="C238" s="18"/>
      <c r="D238" s="18"/>
      <c r="E238" s="18"/>
    </row>
    <row r="239" spans="3:5" ht="15.75" customHeight="1">
      <c r="C239" s="18"/>
      <c r="D239" s="18"/>
      <c r="E239" s="18"/>
    </row>
    <row r="240" spans="3:5" ht="15.75" customHeight="1">
      <c r="C240" s="18"/>
      <c r="D240" s="18"/>
      <c r="E240" s="18"/>
    </row>
    <row r="241" spans="3:5" ht="15.75" customHeight="1">
      <c r="C241" s="18"/>
      <c r="D241" s="18"/>
      <c r="E241" s="18"/>
    </row>
    <row r="242" spans="3:5" ht="15.75" customHeight="1">
      <c r="C242" s="18"/>
      <c r="D242" s="18"/>
      <c r="E242" s="18"/>
    </row>
    <row r="243" spans="3:5" ht="15.75" customHeight="1">
      <c r="C243" s="18"/>
      <c r="D243" s="18"/>
      <c r="E243" s="18"/>
    </row>
    <row r="244" spans="3:5" ht="15.75" customHeight="1">
      <c r="C244" s="18"/>
      <c r="D244" s="18"/>
      <c r="E244" s="18"/>
    </row>
    <row r="245" spans="3:5" ht="15.75" customHeight="1">
      <c r="C245" s="18"/>
      <c r="D245" s="18"/>
      <c r="E245" s="18"/>
    </row>
    <row r="246" spans="3:5" ht="15.75" customHeight="1">
      <c r="C246" s="18"/>
      <c r="D246" s="18"/>
      <c r="E246" s="18"/>
    </row>
    <row r="247" spans="3:5" ht="15.75" customHeight="1">
      <c r="C247" s="18"/>
      <c r="D247" s="18"/>
      <c r="E247" s="18"/>
    </row>
    <row r="248" spans="3:5" ht="15.75" customHeight="1">
      <c r="C248" s="18"/>
      <c r="D248" s="18"/>
      <c r="E248" s="18"/>
    </row>
    <row r="249" spans="3:5" ht="15.75" customHeight="1">
      <c r="C249" s="18"/>
      <c r="D249" s="18"/>
      <c r="E249" s="18"/>
    </row>
    <row r="250" spans="3:5" ht="15.75" customHeight="1">
      <c r="C250" s="18"/>
      <c r="D250" s="18"/>
      <c r="E250" s="18"/>
    </row>
    <row r="251" spans="3:5" ht="15.75" customHeight="1">
      <c r="C251" s="18"/>
      <c r="D251" s="18"/>
      <c r="E251" s="18"/>
    </row>
    <row r="252" spans="3:5" ht="15.75" customHeight="1">
      <c r="C252" s="18"/>
      <c r="D252" s="18"/>
      <c r="E252" s="18"/>
    </row>
    <row r="253" spans="3:5" ht="15.75" customHeight="1">
      <c r="C253" s="18"/>
      <c r="D253" s="18"/>
      <c r="E253" s="18"/>
    </row>
    <row r="254" spans="3:5" ht="15.75" customHeight="1">
      <c r="C254" s="18"/>
      <c r="D254" s="18"/>
      <c r="E254" s="18"/>
    </row>
    <row r="255" spans="3:5" ht="15.75" customHeight="1">
      <c r="C255" s="18"/>
      <c r="D255" s="18"/>
      <c r="E255" s="18"/>
    </row>
    <row r="256" spans="3:5" ht="15.75" customHeight="1">
      <c r="C256" s="18"/>
      <c r="D256" s="18"/>
      <c r="E256" s="18"/>
    </row>
    <row r="257" spans="3:5" ht="15.75" customHeight="1">
      <c r="C257" s="18"/>
      <c r="D257" s="18"/>
      <c r="E257" s="18"/>
    </row>
    <row r="258" spans="3:5" ht="15.75" customHeight="1">
      <c r="C258" s="18"/>
      <c r="D258" s="18"/>
      <c r="E258" s="18"/>
    </row>
    <row r="259" spans="3:5" ht="15.75" customHeight="1">
      <c r="C259" s="18"/>
      <c r="D259" s="18"/>
      <c r="E259" s="18"/>
    </row>
    <row r="260" spans="3:5" ht="15.75" customHeight="1">
      <c r="C260" s="18"/>
      <c r="D260" s="18"/>
      <c r="E260" s="18"/>
    </row>
    <row r="261" spans="3:5" ht="15.75" customHeight="1">
      <c r="C261" s="18"/>
      <c r="D261" s="18"/>
      <c r="E261" s="18"/>
    </row>
    <row r="262" spans="3:5" ht="15.75" customHeight="1">
      <c r="C262" s="18"/>
      <c r="D262" s="18"/>
      <c r="E262" s="18"/>
    </row>
    <row r="263" spans="3:5" ht="15.75" customHeight="1">
      <c r="C263" s="18"/>
      <c r="D263" s="18"/>
      <c r="E263" s="18"/>
    </row>
    <row r="264" spans="3:5" ht="15.75" customHeight="1">
      <c r="C264" s="18"/>
      <c r="D264" s="18"/>
      <c r="E264" s="18"/>
    </row>
    <row r="265" spans="3:5" ht="15.75" customHeight="1">
      <c r="C265" s="18"/>
      <c r="D265" s="18"/>
      <c r="E265" s="18"/>
    </row>
    <row r="266" spans="3:5" ht="15.75" customHeight="1">
      <c r="C266" s="18"/>
      <c r="D266" s="18"/>
      <c r="E266" s="18"/>
    </row>
    <row r="267" spans="3:5" ht="15.75" customHeight="1">
      <c r="C267" s="18"/>
      <c r="D267" s="18"/>
      <c r="E267" s="18"/>
    </row>
    <row r="268" spans="3:5" ht="15.75" customHeight="1">
      <c r="C268" s="18"/>
      <c r="D268" s="18"/>
      <c r="E268" s="18"/>
    </row>
    <row r="269" spans="3:5" ht="15.75" customHeight="1">
      <c r="C269" s="18"/>
      <c r="D269" s="18"/>
      <c r="E269" s="18"/>
    </row>
    <row r="270" spans="3:5" ht="15.75" customHeight="1">
      <c r="C270" s="18"/>
      <c r="D270" s="18"/>
      <c r="E270" s="18"/>
    </row>
    <row r="271" spans="3:5" ht="15.75" customHeight="1">
      <c r="C271" s="18"/>
      <c r="D271" s="18"/>
      <c r="E271" s="18"/>
    </row>
    <row r="272" spans="3:5" ht="15.75" customHeight="1">
      <c r="C272" s="18"/>
      <c r="D272" s="18"/>
      <c r="E272" s="18"/>
    </row>
    <row r="273" spans="3:5" ht="15.75" customHeight="1">
      <c r="C273" s="18"/>
      <c r="D273" s="18"/>
      <c r="E273" s="18"/>
    </row>
    <row r="274" spans="3:5" ht="15.75" customHeight="1">
      <c r="C274" s="18"/>
      <c r="D274" s="18"/>
      <c r="E274" s="18"/>
    </row>
    <row r="275" spans="3:5" ht="15.75" customHeight="1">
      <c r="C275" s="18"/>
      <c r="D275" s="18"/>
      <c r="E275" s="18"/>
    </row>
    <row r="276" spans="3:5" ht="15.75" customHeight="1">
      <c r="C276" s="18"/>
      <c r="D276" s="18"/>
      <c r="E276" s="18"/>
    </row>
    <row r="277" spans="3:5" ht="15.75" customHeight="1">
      <c r="C277" s="18"/>
      <c r="D277" s="18"/>
      <c r="E277" s="18"/>
    </row>
    <row r="278" spans="3:5" ht="15.75" customHeight="1">
      <c r="C278" s="18"/>
      <c r="D278" s="18"/>
      <c r="E278" s="18"/>
    </row>
    <row r="279" spans="3:5" ht="15.75" customHeight="1">
      <c r="C279" s="18"/>
      <c r="D279" s="18"/>
      <c r="E279" s="18"/>
    </row>
    <row r="280" spans="3:5" ht="15.75" customHeight="1">
      <c r="C280" s="18"/>
      <c r="D280" s="18"/>
      <c r="E280" s="18"/>
    </row>
    <row r="281" spans="3:5" ht="15.75" customHeight="1">
      <c r="C281" s="18"/>
      <c r="D281" s="18"/>
      <c r="E281" s="18"/>
    </row>
    <row r="282" spans="3:5" ht="15.75" customHeight="1">
      <c r="C282" s="18"/>
      <c r="D282" s="18"/>
      <c r="E282" s="18"/>
    </row>
    <row r="283" spans="3:5" ht="15.75" customHeight="1">
      <c r="C283" s="18"/>
      <c r="D283" s="18"/>
      <c r="E283" s="18"/>
    </row>
    <row r="284" spans="3:5" ht="15.75" customHeight="1">
      <c r="C284" s="18"/>
      <c r="D284" s="18"/>
      <c r="E284" s="18"/>
    </row>
    <row r="285" spans="3:5" ht="15.75" customHeight="1">
      <c r="C285" s="18"/>
      <c r="D285" s="18"/>
      <c r="E285" s="18"/>
    </row>
    <row r="286" spans="3:5" ht="15.75" customHeight="1">
      <c r="C286" s="18"/>
      <c r="D286" s="18"/>
      <c r="E286" s="18"/>
    </row>
    <row r="287" spans="3:5" ht="15.75" customHeight="1">
      <c r="C287" s="18"/>
      <c r="D287" s="18"/>
      <c r="E287" s="18"/>
    </row>
    <row r="288" spans="3:5" ht="15.75" customHeight="1">
      <c r="C288" s="18"/>
      <c r="D288" s="18"/>
      <c r="E288" s="18"/>
    </row>
    <row r="289" spans="3:5" ht="15.75" customHeight="1">
      <c r="C289" s="18"/>
      <c r="D289" s="18"/>
      <c r="E289" s="18"/>
    </row>
    <row r="290" spans="3:5" ht="15.75" customHeight="1">
      <c r="C290" s="18"/>
      <c r="D290" s="18"/>
      <c r="E290" s="18"/>
    </row>
    <row r="291" spans="3:5" ht="15.75" customHeight="1">
      <c r="C291" s="18"/>
      <c r="D291" s="18"/>
      <c r="E291" s="18"/>
    </row>
    <row r="292" spans="3:5" ht="15.75" customHeight="1">
      <c r="C292" s="18"/>
      <c r="D292" s="18"/>
      <c r="E292" s="18"/>
    </row>
    <row r="293" spans="3:5" ht="15.75" customHeight="1">
      <c r="C293" s="18"/>
      <c r="D293" s="18"/>
      <c r="E293" s="18"/>
    </row>
    <row r="294" spans="3:5" ht="15.75" customHeight="1">
      <c r="C294" s="18"/>
      <c r="D294" s="18"/>
      <c r="E294" s="18"/>
    </row>
    <row r="295" spans="3:5" ht="15.75" customHeight="1">
      <c r="C295" s="18"/>
      <c r="D295" s="18"/>
      <c r="E295" s="18"/>
    </row>
    <row r="296" spans="3:5" ht="15.75" customHeight="1">
      <c r="C296" s="18"/>
      <c r="D296" s="18"/>
      <c r="E296" s="18"/>
    </row>
    <row r="297" spans="3:5" ht="15.75" customHeight="1">
      <c r="C297" s="18"/>
      <c r="D297" s="18"/>
      <c r="E297" s="18"/>
    </row>
    <row r="298" spans="3:5" ht="15.75" customHeight="1">
      <c r="C298" s="18"/>
      <c r="D298" s="18"/>
      <c r="E298" s="18"/>
    </row>
    <row r="299" spans="3:5" ht="15.75" customHeight="1">
      <c r="C299" s="18"/>
      <c r="D299" s="18"/>
      <c r="E299" s="18"/>
    </row>
    <row r="300" spans="3:5" ht="15.75" customHeight="1">
      <c r="C300" s="18"/>
      <c r="D300" s="18"/>
      <c r="E300" s="18"/>
    </row>
    <row r="301" spans="3:5" ht="15.75" customHeight="1">
      <c r="C301" s="18"/>
      <c r="D301" s="18"/>
      <c r="E301" s="18"/>
    </row>
    <row r="302" spans="3:5" ht="15.75" customHeight="1">
      <c r="C302" s="18"/>
      <c r="D302" s="18"/>
      <c r="E302" s="18"/>
    </row>
    <row r="303" spans="3:5" ht="15.75" customHeight="1">
      <c r="C303" s="18"/>
      <c r="D303" s="18"/>
      <c r="E303" s="18"/>
    </row>
    <row r="304" spans="3:5" ht="15.75" customHeight="1">
      <c r="C304" s="18"/>
      <c r="D304" s="18"/>
      <c r="E304" s="18"/>
    </row>
    <row r="305" spans="3:5" ht="15.75" customHeight="1">
      <c r="C305" s="18"/>
      <c r="D305" s="18"/>
      <c r="E305" s="18"/>
    </row>
    <row r="306" spans="3:5" ht="15.75" customHeight="1">
      <c r="C306" s="18"/>
      <c r="D306" s="18"/>
      <c r="E306" s="18"/>
    </row>
    <row r="307" spans="3:5" ht="15.75" customHeight="1">
      <c r="C307" s="18"/>
      <c r="D307" s="18"/>
      <c r="E307" s="18"/>
    </row>
    <row r="308" spans="3:5" ht="15.75" customHeight="1">
      <c r="C308" s="18"/>
      <c r="D308" s="18"/>
      <c r="E308" s="18"/>
    </row>
    <row r="309" spans="3:5" ht="15.75" customHeight="1">
      <c r="C309" s="18"/>
      <c r="D309" s="18"/>
      <c r="E309" s="18"/>
    </row>
    <row r="310" spans="3:5" ht="15.75" customHeight="1">
      <c r="C310" s="18"/>
      <c r="D310" s="18"/>
      <c r="E310" s="18"/>
    </row>
    <row r="311" spans="3:5" ht="15.75" customHeight="1">
      <c r="C311" s="18"/>
      <c r="D311" s="18"/>
      <c r="E311" s="18"/>
    </row>
    <row r="312" spans="3:5" ht="15.75" customHeight="1">
      <c r="C312" s="18"/>
      <c r="D312" s="18"/>
      <c r="E312" s="18"/>
    </row>
    <row r="313" spans="3:5" ht="15.75" customHeight="1">
      <c r="C313" s="18"/>
      <c r="D313" s="18"/>
      <c r="E313" s="18"/>
    </row>
    <row r="314" spans="3:5" ht="15.75" customHeight="1">
      <c r="C314" s="18"/>
      <c r="D314" s="18"/>
      <c r="E314" s="18"/>
    </row>
    <row r="315" spans="3:5" ht="15.75" customHeight="1">
      <c r="C315" s="18"/>
      <c r="D315" s="18"/>
      <c r="E315" s="18"/>
    </row>
    <row r="316" spans="3:5" ht="15.75" customHeight="1">
      <c r="C316" s="18"/>
      <c r="D316" s="18"/>
      <c r="E316" s="18"/>
    </row>
    <row r="317" spans="3:5" ht="15.75" customHeight="1">
      <c r="C317" s="18"/>
      <c r="D317" s="18"/>
      <c r="E317" s="18"/>
    </row>
    <row r="318" spans="3:5" ht="15.75" customHeight="1">
      <c r="C318" s="18"/>
      <c r="D318" s="18"/>
      <c r="E318" s="18"/>
    </row>
    <row r="319" spans="3:5" ht="15.75" customHeight="1">
      <c r="C319" s="18"/>
      <c r="D319" s="18"/>
      <c r="E319" s="18"/>
    </row>
    <row r="320" spans="3:5" ht="15.75" customHeight="1">
      <c r="C320" s="18"/>
      <c r="D320" s="18"/>
      <c r="E320" s="18"/>
    </row>
    <row r="321" spans="3:5" ht="15.75" customHeight="1">
      <c r="C321" s="18"/>
      <c r="D321" s="18"/>
      <c r="E321" s="18"/>
    </row>
    <row r="322" spans="3:5" ht="15.75" customHeight="1">
      <c r="C322" s="18"/>
      <c r="D322" s="18"/>
      <c r="E322" s="18"/>
    </row>
    <row r="323" spans="3:5" ht="15.75" customHeight="1">
      <c r="C323" s="18"/>
      <c r="D323" s="18"/>
      <c r="E323" s="18"/>
    </row>
    <row r="324" spans="3:5" ht="15.75" customHeight="1">
      <c r="C324" s="18"/>
      <c r="D324" s="18"/>
      <c r="E324" s="18"/>
    </row>
    <row r="325" spans="3:5" ht="15.75" customHeight="1">
      <c r="C325" s="18"/>
      <c r="D325" s="18"/>
      <c r="E325" s="18"/>
    </row>
    <row r="326" spans="3:5" ht="15.75" customHeight="1">
      <c r="C326" s="18"/>
      <c r="D326" s="18"/>
      <c r="E326" s="18"/>
    </row>
    <row r="327" spans="3:5" ht="15.75" customHeight="1">
      <c r="C327" s="18"/>
      <c r="D327" s="18"/>
      <c r="E327" s="18"/>
    </row>
    <row r="328" spans="3:5" ht="15.75" customHeight="1">
      <c r="C328" s="18"/>
      <c r="D328" s="18"/>
      <c r="E328" s="18"/>
    </row>
    <row r="329" spans="3:5" ht="15.75" customHeight="1">
      <c r="C329" s="18"/>
      <c r="D329" s="18"/>
      <c r="E329" s="18"/>
    </row>
    <row r="330" spans="3:5" ht="15.75" customHeight="1">
      <c r="C330" s="18"/>
      <c r="D330" s="18"/>
      <c r="E330" s="18"/>
    </row>
    <row r="331" spans="3:5" ht="15.75" customHeight="1">
      <c r="C331" s="18"/>
      <c r="D331" s="18"/>
      <c r="E331" s="18"/>
    </row>
    <row r="332" spans="3:5" ht="15.75" customHeight="1">
      <c r="C332" s="18"/>
      <c r="D332" s="18"/>
      <c r="E332" s="18"/>
    </row>
    <row r="333" spans="3:5" ht="15.75" customHeight="1">
      <c r="C333" s="18"/>
      <c r="D333" s="18"/>
      <c r="E333" s="18"/>
    </row>
    <row r="334" spans="3:5" ht="15.75" customHeight="1">
      <c r="C334" s="18"/>
      <c r="D334" s="18"/>
      <c r="E334" s="18"/>
    </row>
    <row r="335" spans="3:5" ht="15.75" customHeight="1">
      <c r="C335" s="18"/>
      <c r="D335" s="18"/>
      <c r="E335" s="18"/>
    </row>
    <row r="336" spans="3:5" ht="15.75" customHeight="1">
      <c r="C336" s="18"/>
      <c r="D336" s="18"/>
      <c r="E336" s="18"/>
    </row>
    <row r="337" spans="3:5" ht="15.75" customHeight="1">
      <c r="C337" s="18"/>
      <c r="D337" s="18"/>
      <c r="E337" s="18"/>
    </row>
    <row r="338" spans="3:5" ht="15.75" customHeight="1">
      <c r="C338" s="18"/>
      <c r="D338" s="18"/>
      <c r="E338" s="18"/>
    </row>
    <row r="339" spans="3:5" ht="15.75" customHeight="1">
      <c r="C339" s="18"/>
      <c r="D339" s="18"/>
      <c r="E339" s="18"/>
    </row>
    <row r="340" spans="3:5" ht="15.75" customHeight="1">
      <c r="C340" s="18"/>
      <c r="D340" s="18"/>
      <c r="E340" s="18"/>
    </row>
    <row r="341" spans="3:5" ht="15.75" customHeight="1">
      <c r="C341" s="18"/>
      <c r="D341" s="18"/>
      <c r="E341" s="18"/>
    </row>
    <row r="342" spans="3:5" ht="15.75" customHeight="1">
      <c r="C342" s="18"/>
      <c r="D342" s="18"/>
      <c r="E342" s="18"/>
    </row>
    <row r="343" spans="3:5" ht="15.75" customHeight="1">
      <c r="C343" s="18"/>
      <c r="D343" s="18"/>
      <c r="E343" s="18"/>
    </row>
    <row r="344" spans="3:5" ht="15.75" customHeight="1">
      <c r="C344" s="18"/>
      <c r="D344" s="18"/>
      <c r="E344" s="18"/>
    </row>
    <row r="345" spans="3:5" ht="15.75" customHeight="1">
      <c r="C345" s="18"/>
      <c r="D345" s="18"/>
      <c r="E345" s="18"/>
    </row>
    <row r="346" spans="3:5" ht="15.75" customHeight="1">
      <c r="C346" s="18"/>
      <c r="D346" s="18"/>
      <c r="E346" s="18"/>
    </row>
    <row r="347" spans="3:5" ht="15.75" customHeight="1">
      <c r="C347" s="18"/>
      <c r="D347" s="18"/>
      <c r="E347" s="18"/>
    </row>
    <row r="348" spans="3:5" ht="15.75" customHeight="1">
      <c r="C348" s="18"/>
      <c r="D348" s="18"/>
      <c r="E348" s="18"/>
    </row>
    <row r="349" spans="3:5" ht="15.75" customHeight="1">
      <c r="C349" s="18"/>
      <c r="D349" s="18"/>
      <c r="E349" s="18"/>
    </row>
    <row r="350" spans="3:5" ht="15.75" customHeight="1">
      <c r="C350" s="18"/>
      <c r="D350" s="18"/>
      <c r="E350" s="18"/>
    </row>
    <row r="351" spans="3:5" ht="15.75" customHeight="1">
      <c r="C351" s="18"/>
      <c r="D351" s="18"/>
      <c r="E351" s="18"/>
    </row>
    <row r="352" spans="3:5" ht="15.75" customHeight="1">
      <c r="C352" s="18"/>
      <c r="D352" s="18"/>
      <c r="E352" s="18"/>
    </row>
    <row r="353" spans="3:5" ht="15.75" customHeight="1">
      <c r="C353" s="18"/>
      <c r="D353" s="18"/>
      <c r="E353" s="18"/>
    </row>
    <row r="354" spans="3:5" ht="15.75" customHeight="1">
      <c r="C354" s="18"/>
      <c r="D354" s="18"/>
      <c r="E354" s="18"/>
    </row>
    <row r="355" spans="3:5" ht="15.75" customHeight="1">
      <c r="C355" s="18"/>
      <c r="D355" s="18"/>
      <c r="E355" s="18"/>
    </row>
    <row r="356" spans="3:5" ht="15.75" customHeight="1">
      <c r="C356" s="18"/>
      <c r="D356" s="18"/>
      <c r="E356" s="18"/>
    </row>
    <row r="357" spans="3:5" ht="15.75" customHeight="1">
      <c r="C357" s="18"/>
      <c r="D357" s="18"/>
      <c r="E357" s="18"/>
    </row>
    <row r="358" spans="3:5" ht="15.75" customHeight="1">
      <c r="C358" s="18"/>
      <c r="D358" s="18"/>
      <c r="E358" s="18"/>
    </row>
    <row r="359" spans="3:5" ht="15.75" customHeight="1">
      <c r="C359" s="18"/>
      <c r="D359" s="18"/>
      <c r="E359" s="18"/>
    </row>
    <row r="360" spans="3:5" ht="15.75" customHeight="1">
      <c r="C360" s="18"/>
      <c r="D360" s="18"/>
      <c r="E360" s="18"/>
    </row>
    <row r="361" spans="3:5" ht="15.75" customHeight="1">
      <c r="C361" s="18"/>
      <c r="D361" s="18"/>
      <c r="E361" s="18"/>
    </row>
    <row r="362" spans="3:5" ht="15.75" customHeight="1">
      <c r="C362" s="18"/>
      <c r="D362" s="18"/>
      <c r="E362" s="18"/>
    </row>
    <row r="363" spans="3:5" ht="15.75" customHeight="1">
      <c r="C363" s="18"/>
      <c r="D363" s="18"/>
      <c r="E363" s="18"/>
    </row>
    <row r="364" spans="3:5" ht="15.75" customHeight="1">
      <c r="C364" s="18"/>
      <c r="D364" s="18"/>
      <c r="E364" s="18"/>
    </row>
    <row r="365" spans="3:5" ht="15.75" customHeight="1">
      <c r="C365" s="18"/>
      <c r="D365" s="18"/>
      <c r="E365" s="18"/>
    </row>
    <row r="366" spans="3:5" ht="15.75" customHeight="1">
      <c r="C366" s="18"/>
      <c r="D366" s="18"/>
      <c r="E366" s="18"/>
    </row>
    <row r="367" spans="3:5" ht="15.75" customHeight="1">
      <c r="C367" s="18"/>
      <c r="D367" s="18"/>
      <c r="E367" s="18"/>
    </row>
    <row r="368" spans="3:5" ht="15.75" customHeight="1">
      <c r="C368" s="18"/>
      <c r="D368" s="18"/>
      <c r="E368" s="18"/>
    </row>
    <row r="369" spans="3:5" ht="15.75" customHeight="1">
      <c r="C369" s="18"/>
      <c r="D369" s="18"/>
      <c r="E369" s="18"/>
    </row>
    <row r="370" spans="3:5" ht="15.75" customHeight="1">
      <c r="C370" s="18"/>
      <c r="D370" s="18"/>
      <c r="E370" s="18"/>
    </row>
    <row r="371" spans="3:5" ht="15.75" customHeight="1">
      <c r="C371" s="18"/>
      <c r="D371" s="18"/>
      <c r="E371" s="18"/>
    </row>
    <row r="372" spans="3:5" ht="15.75" customHeight="1">
      <c r="C372" s="18"/>
      <c r="D372" s="18"/>
      <c r="E372" s="18"/>
    </row>
    <row r="373" spans="3:5" ht="15.75" customHeight="1">
      <c r="C373" s="18"/>
      <c r="D373" s="18"/>
      <c r="E373" s="18"/>
    </row>
    <row r="374" spans="3:5" ht="15.75" customHeight="1">
      <c r="C374" s="18"/>
      <c r="D374" s="18"/>
      <c r="E374" s="18"/>
    </row>
    <row r="375" spans="3:5" ht="15.75" customHeight="1">
      <c r="C375" s="18"/>
      <c r="D375" s="18"/>
      <c r="E375" s="18"/>
    </row>
    <row r="376" spans="3:5" ht="15.75" customHeight="1">
      <c r="C376" s="18"/>
      <c r="D376" s="18"/>
      <c r="E376" s="18"/>
    </row>
    <row r="377" spans="3:5" ht="15.75" customHeight="1">
      <c r="C377" s="18"/>
      <c r="D377" s="18"/>
      <c r="E377" s="18"/>
    </row>
    <row r="378" spans="3:5" ht="15.75" customHeight="1">
      <c r="C378" s="18"/>
      <c r="D378" s="18"/>
      <c r="E378" s="18"/>
    </row>
    <row r="379" spans="3:5" ht="15.75" customHeight="1">
      <c r="C379" s="18"/>
      <c r="D379" s="18"/>
      <c r="E379" s="18"/>
    </row>
    <row r="380" spans="3:5" ht="15.75" customHeight="1">
      <c r="C380" s="18"/>
      <c r="D380" s="18"/>
      <c r="E380" s="18"/>
    </row>
    <row r="381" spans="3:5" ht="15.75" customHeight="1">
      <c r="C381" s="18"/>
      <c r="D381" s="18"/>
      <c r="E381" s="18"/>
    </row>
    <row r="382" spans="3:5" ht="15.75" customHeight="1">
      <c r="C382" s="18"/>
      <c r="D382" s="18"/>
      <c r="E382" s="18"/>
    </row>
    <row r="383" spans="3:5" ht="15.75" customHeight="1">
      <c r="C383" s="18"/>
      <c r="D383" s="18"/>
      <c r="E383" s="18"/>
    </row>
    <row r="384" spans="3:5" ht="15.75" customHeight="1">
      <c r="C384" s="18"/>
      <c r="D384" s="18"/>
      <c r="E384" s="18"/>
    </row>
    <row r="385" spans="3:5" ht="15.75" customHeight="1">
      <c r="C385" s="18"/>
      <c r="D385" s="18"/>
      <c r="E385" s="18"/>
    </row>
    <row r="386" spans="3:5" ht="15.75" customHeight="1">
      <c r="C386" s="18"/>
      <c r="D386" s="18"/>
      <c r="E386" s="18"/>
    </row>
    <row r="387" spans="3:5" ht="15.75" customHeight="1">
      <c r="C387" s="18"/>
      <c r="D387" s="18"/>
      <c r="E387" s="18"/>
    </row>
    <row r="388" spans="3:5" ht="15.75" customHeight="1">
      <c r="C388" s="18"/>
      <c r="D388" s="18"/>
      <c r="E388" s="18"/>
    </row>
    <row r="389" spans="3:5" ht="15.75" customHeight="1">
      <c r="C389" s="18"/>
      <c r="D389" s="18"/>
      <c r="E389" s="18"/>
    </row>
    <row r="390" spans="3:5" ht="15.75" customHeight="1">
      <c r="C390" s="18"/>
      <c r="D390" s="18"/>
      <c r="E390" s="18"/>
    </row>
    <row r="391" spans="3:5" ht="15.75" customHeight="1">
      <c r="C391" s="18"/>
      <c r="D391" s="18"/>
      <c r="E391" s="18"/>
    </row>
    <row r="392" spans="3:5" ht="15.75" customHeight="1">
      <c r="C392" s="18"/>
      <c r="D392" s="18"/>
      <c r="E392" s="18"/>
    </row>
    <row r="393" spans="3:5" ht="15.75" customHeight="1">
      <c r="C393" s="18"/>
      <c r="D393" s="18"/>
      <c r="E393" s="18"/>
    </row>
    <row r="394" spans="3:5" ht="15.75" customHeight="1">
      <c r="C394" s="18"/>
      <c r="D394" s="18"/>
      <c r="E394" s="18"/>
    </row>
    <row r="395" spans="3:5" ht="15.75" customHeight="1">
      <c r="C395" s="18"/>
      <c r="D395" s="18"/>
      <c r="E395" s="18"/>
    </row>
    <row r="396" spans="3:5" ht="15.75" customHeight="1">
      <c r="C396" s="18"/>
      <c r="D396" s="18"/>
      <c r="E396" s="18"/>
    </row>
    <row r="397" spans="3:5" ht="15.75" customHeight="1">
      <c r="C397" s="18"/>
      <c r="D397" s="18"/>
      <c r="E397" s="18"/>
    </row>
    <row r="398" spans="3:5" ht="15.75" customHeight="1">
      <c r="C398" s="18"/>
      <c r="D398" s="18"/>
      <c r="E398" s="18"/>
    </row>
    <row r="399" spans="3:5" ht="15.75" customHeight="1">
      <c r="C399" s="18"/>
      <c r="D399" s="18"/>
      <c r="E399" s="18"/>
    </row>
    <row r="400" spans="3:5" ht="15.75" customHeight="1">
      <c r="C400" s="18"/>
      <c r="D400" s="18"/>
      <c r="E400" s="18"/>
    </row>
    <row r="401" spans="3:5" ht="15.75" customHeight="1">
      <c r="C401" s="18"/>
      <c r="D401" s="18"/>
      <c r="E401" s="18"/>
    </row>
    <row r="402" spans="3:5" ht="15.75" customHeight="1">
      <c r="C402" s="18"/>
      <c r="D402" s="18"/>
      <c r="E402" s="18"/>
    </row>
    <row r="403" spans="3:5" ht="15.75" customHeight="1">
      <c r="C403" s="18"/>
      <c r="D403" s="18"/>
      <c r="E403" s="18"/>
    </row>
    <row r="404" spans="3:5" ht="15.75" customHeight="1">
      <c r="C404" s="18"/>
      <c r="D404" s="18"/>
      <c r="E404" s="18"/>
    </row>
    <row r="405" spans="3:5" ht="15.75" customHeight="1">
      <c r="C405" s="18"/>
      <c r="D405" s="18"/>
      <c r="E405" s="18"/>
    </row>
    <row r="406" spans="3:5" ht="15.75" customHeight="1">
      <c r="C406" s="18"/>
      <c r="D406" s="18"/>
      <c r="E406" s="18"/>
    </row>
    <row r="407" spans="3:5" ht="15.75" customHeight="1">
      <c r="C407" s="18"/>
      <c r="D407" s="18"/>
      <c r="E407" s="18"/>
    </row>
    <row r="408" spans="3:5" ht="15.75" customHeight="1">
      <c r="C408" s="18"/>
      <c r="D408" s="18"/>
      <c r="E408" s="18"/>
    </row>
    <row r="409" spans="3:5" ht="15.75" customHeight="1">
      <c r="C409" s="18"/>
      <c r="D409" s="18"/>
      <c r="E409" s="18"/>
    </row>
    <row r="410" spans="3:5" ht="15.75" customHeight="1">
      <c r="C410" s="18"/>
      <c r="D410" s="18"/>
      <c r="E410" s="18"/>
    </row>
    <row r="411" spans="3:5" ht="15.75" customHeight="1">
      <c r="C411" s="18"/>
      <c r="D411" s="18"/>
      <c r="E411" s="18"/>
    </row>
    <row r="412" spans="3:5" ht="15.75" customHeight="1">
      <c r="C412" s="18"/>
      <c r="D412" s="18"/>
      <c r="E412" s="18"/>
    </row>
    <row r="413" spans="3:5" ht="15.75" customHeight="1">
      <c r="C413" s="18"/>
      <c r="D413" s="18"/>
      <c r="E413" s="18"/>
    </row>
    <row r="414" spans="3:5" ht="15.75" customHeight="1">
      <c r="C414" s="18"/>
      <c r="D414" s="18"/>
      <c r="E414" s="18"/>
    </row>
    <row r="415" spans="3:5" ht="15.75" customHeight="1">
      <c r="C415" s="18"/>
      <c r="D415" s="18"/>
      <c r="E415" s="18"/>
    </row>
    <row r="416" spans="3:5" ht="15.75" customHeight="1">
      <c r="C416" s="18"/>
      <c r="D416" s="18"/>
      <c r="E416" s="18"/>
    </row>
    <row r="417" spans="3:5" ht="15.75" customHeight="1">
      <c r="C417" s="18"/>
      <c r="D417" s="18"/>
      <c r="E417" s="18"/>
    </row>
    <row r="418" spans="3:5" ht="15.75" customHeight="1">
      <c r="C418" s="18"/>
      <c r="D418" s="18"/>
      <c r="E418" s="18"/>
    </row>
    <row r="419" spans="3:5" ht="15.75" customHeight="1">
      <c r="C419" s="18"/>
      <c r="D419" s="18"/>
      <c r="E419" s="18"/>
    </row>
    <row r="420" spans="3:5" ht="15.75" customHeight="1">
      <c r="C420" s="18"/>
      <c r="D420" s="18"/>
      <c r="E420" s="18"/>
    </row>
    <row r="421" spans="3:5" ht="15.75" customHeight="1">
      <c r="C421" s="18"/>
      <c r="D421" s="18"/>
      <c r="E421" s="18"/>
    </row>
    <row r="422" spans="3:5" ht="15.75" customHeight="1">
      <c r="C422" s="18"/>
      <c r="D422" s="18"/>
      <c r="E422" s="18"/>
    </row>
    <row r="423" spans="3:5" ht="15.75" customHeight="1">
      <c r="C423" s="18"/>
      <c r="D423" s="18"/>
      <c r="E423" s="18"/>
    </row>
    <row r="424" spans="3:5" ht="15.75" customHeight="1">
      <c r="C424" s="18"/>
      <c r="D424" s="18"/>
      <c r="E424" s="18"/>
    </row>
    <row r="425" spans="3:5" ht="15.75" customHeight="1">
      <c r="C425" s="18"/>
      <c r="D425" s="18"/>
      <c r="E425" s="18"/>
    </row>
    <row r="426" spans="3:5" ht="15.75" customHeight="1">
      <c r="C426" s="18"/>
      <c r="D426" s="18"/>
      <c r="E426" s="18"/>
    </row>
    <row r="427" spans="3:5" ht="15.75" customHeight="1">
      <c r="C427" s="18"/>
      <c r="D427" s="18"/>
      <c r="E427" s="18"/>
    </row>
    <row r="428" spans="3:5" ht="15.75" customHeight="1">
      <c r="C428" s="18"/>
      <c r="D428" s="18"/>
      <c r="E428" s="18"/>
    </row>
    <row r="429" spans="3:5" ht="15.75" customHeight="1">
      <c r="C429" s="18"/>
      <c r="D429" s="18"/>
      <c r="E429" s="18"/>
    </row>
    <row r="430" spans="3:5" ht="15.75" customHeight="1">
      <c r="C430" s="18"/>
      <c r="D430" s="18"/>
      <c r="E430" s="18"/>
    </row>
    <row r="431" spans="3:5" ht="15.75" customHeight="1">
      <c r="C431" s="18"/>
      <c r="D431" s="18"/>
      <c r="E431" s="18"/>
    </row>
    <row r="432" spans="3:5" ht="15.75" customHeight="1">
      <c r="C432" s="18"/>
      <c r="D432" s="18"/>
      <c r="E432" s="18"/>
    </row>
    <row r="433" spans="3:5" ht="15.75" customHeight="1">
      <c r="C433" s="18"/>
      <c r="D433" s="18"/>
      <c r="E433" s="18"/>
    </row>
    <row r="434" spans="3:5" ht="15.75" customHeight="1">
      <c r="C434" s="18"/>
      <c r="D434" s="18"/>
      <c r="E434" s="18"/>
    </row>
    <row r="435" spans="3:5" ht="15.75" customHeight="1">
      <c r="C435" s="18"/>
      <c r="D435" s="18"/>
      <c r="E435" s="18"/>
    </row>
    <row r="436" spans="3:5" ht="15.75" customHeight="1">
      <c r="C436" s="18"/>
      <c r="D436" s="18"/>
      <c r="E436" s="18"/>
    </row>
    <row r="437" spans="3:5" ht="15.75" customHeight="1">
      <c r="C437" s="18"/>
      <c r="D437" s="18"/>
      <c r="E437" s="18"/>
    </row>
    <row r="438" spans="3:5" ht="15.75" customHeight="1">
      <c r="C438" s="18"/>
      <c r="D438" s="18"/>
      <c r="E438" s="18"/>
    </row>
    <row r="439" spans="3:5" ht="15.75" customHeight="1">
      <c r="C439" s="18"/>
      <c r="D439" s="18"/>
      <c r="E439" s="18"/>
    </row>
    <row r="440" spans="3:5" ht="15.75" customHeight="1">
      <c r="C440" s="18"/>
      <c r="D440" s="18"/>
      <c r="E440" s="18"/>
    </row>
    <row r="441" spans="3:5" ht="15.75" customHeight="1">
      <c r="C441" s="18"/>
      <c r="D441" s="18"/>
      <c r="E441" s="18"/>
    </row>
    <row r="442" spans="3:5" ht="15.75" customHeight="1">
      <c r="C442" s="18"/>
      <c r="D442" s="18"/>
      <c r="E442" s="18"/>
    </row>
    <row r="443" spans="3:5" ht="15.75" customHeight="1">
      <c r="C443" s="18"/>
      <c r="D443" s="18"/>
      <c r="E443" s="18"/>
    </row>
    <row r="444" spans="3:5" ht="15.75" customHeight="1">
      <c r="C444" s="18"/>
      <c r="D444" s="18"/>
      <c r="E444" s="18"/>
    </row>
    <row r="445" spans="3:5" ht="15.75" customHeight="1">
      <c r="C445" s="18"/>
      <c r="D445" s="18"/>
      <c r="E445" s="18"/>
    </row>
    <row r="446" spans="3:5" ht="15.75" customHeight="1">
      <c r="C446" s="18"/>
      <c r="D446" s="18"/>
      <c r="E446" s="18"/>
    </row>
    <row r="447" spans="3:5" ht="15.75" customHeight="1">
      <c r="C447" s="18"/>
      <c r="D447" s="18"/>
      <c r="E447" s="18"/>
    </row>
    <row r="448" spans="3:5" ht="15.75" customHeight="1">
      <c r="C448" s="18"/>
      <c r="D448" s="18"/>
      <c r="E448" s="18"/>
    </row>
    <row r="449" spans="3:5" ht="15.75" customHeight="1">
      <c r="C449" s="18"/>
      <c r="D449" s="18"/>
      <c r="E449" s="18"/>
    </row>
    <row r="450" spans="3:5" ht="15.75" customHeight="1">
      <c r="C450" s="18"/>
      <c r="D450" s="18"/>
      <c r="E450" s="18"/>
    </row>
    <row r="451" spans="3:5" ht="15.75" customHeight="1">
      <c r="C451" s="18"/>
      <c r="D451" s="18"/>
      <c r="E451" s="18"/>
    </row>
    <row r="452" spans="3:5" ht="15.75" customHeight="1">
      <c r="C452" s="18"/>
      <c r="D452" s="18"/>
      <c r="E452" s="18"/>
    </row>
    <row r="453" spans="3:5" ht="15.75" customHeight="1">
      <c r="C453" s="18"/>
      <c r="D453" s="18"/>
      <c r="E453" s="18"/>
    </row>
    <row r="454" spans="3:5" ht="15.75" customHeight="1">
      <c r="C454" s="18"/>
      <c r="D454" s="18"/>
      <c r="E454" s="18"/>
    </row>
    <row r="455" spans="3:5" ht="15.75" customHeight="1">
      <c r="C455" s="18"/>
      <c r="D455" s="18"/>
      <c r="E455" s="18"/>
    </row>
    <row r="456" spans="3:5" ht="15.75" customHeight="1">
      <c r="C456" s="18"/>
      <c r="D456" s="18"/>
      <c r="E456" s="18"/>
    </row>
    <row r="457" spans="3:5" ht="15.75" customHeight="1">
      <c r="C457" s="18"/>
      <c r="D457" s="18"/>
      <c r="E457" s="18"/>
    </row>
    <row r="458" spans="3:5" ht="15.75" customHeight="1">
      <c r="C458" s="18"/>
      <c r="D458" s="18"/>
      <c r="E458" s="18"/>
    </row>
    <row r="459" spans="3:5" ht="15.75" customHeight="1">
      <c r="C459" s="18"/>
      <c r="D459" s="18"/>
      <c r="E459" s="18"/>
    </row>
    <row r="460" spans="3:5" ht="15.75" customHeight="1">
      <c r="C460" s="18"/>
      <c r="D460" s="18"/>
      <c r="E460" s="18"/>
    </row>
    <row r="461" spans="3:5" ht="15.75" customHeight="1">
      <c r="C461" s="18"/>
      <c r="D461" s="18"/>
      <c r="E461" s="18"/>
    </row>
    <row r="462" spans="3:5" ht="15.75" customHeight="1">
      <c r="C462" s="18"/>
      <c r="D462" s="18"/>
      <c r="E462" s="18"/>
    </row>
    <row r="463" spans="3:5" ht="15.75" customHeight="1">
      <c r="C463" s="18"/>
      <c r="D463" s="18"/>
      <c r="E463" s="18"/>
    </row>
    <row r="464" spans="3:5" ht="15.75" customHeight="1">
      <c r="C464" s="18"/>
      <c r="D464" s="18"/>
      <c r="E464" s="18"/>
    </row>
    <row r="465" spans="3:5" ht="15.75" customHeight="1">
      <c r="C465" s="18"/>
      <c r="D465" s="18"/>
      <c r="E465" s="18"/>
    </row>
    <row r="466" spans="3:5" ht="15.75" customHeight="1">
      <c r="C466" s="18"/>
      <c r="D466" s="18"/>
      <c r="E466" s="18"/>
    </row>
    <row r="467" spans="3:5" ht="15.75" customHeight="1">
      <c r="C467" s="18"/>
      <c r="D467" s="18"/>
      <c r="E467" s="18"/>
    </row>
    <row r="468" spans="3:5" ht="15.75" customHeight="1">
      <c r="C468" s="18"/>
      <c r="D468" s="18"/>
      <c r="E468" s="18"/>
    </row>
    <row r="469" spans="3:5" ht="15.75" customHeight="1">
      <c r="C469" s="18"/>
      <c r="D469" s="18"/>
      <c r="E469" s="18"/>
    </row>
    <row r="470" spans="3:5" ht="15.75" customHeight="1">
      <c r="C470" s="18"/>
      <c r="D470" s="18"/>
      <c r="E470" s="18"/>
    </row>
    <row r="471" spans="3:5" ht="15.75" customHeight="1">
      <c r="C471" s="18"/>
      <c r="D471" s="18"/>
      <c r="E471" s="18"/>
    </row>
    <row r="472" spans="3:5" ht="15.75" customHeight="1">
      <c r="C472" s="18"/>
      <c r="D472" s="18"/>
      <c r="E472" s="18"/>
    </row>
    <row r="473" spans="3:5" ht="15.75" customHeight="1">
      <c r="C473" s="18"/>
      <c r="D473" s="18"/>
      <c r="E473" s="18"/>
    </row>
    <row r="474" spans="3:5" ht="15.75" customHeight="1">
      <c r="C474" s="18"/>
      <c r="D474" s="18"/>
      <c r="E474" s="18"/>
    </row>
    <row r="475" spans="3:5" ht="15.75" customHeight="1">
      <c r="C475" s="18"/>
      <c r="D475" s="18"/>
      <c r="E475" s="18"/>
    </row>
    <row r="476" spans="3:5" ht="15.75" customHeight="1">
      <c r="C476" s="18"/>
      <c r="D476" s="18"/>
      <c r="E476" s="18"/>
    </row>
    <row r="477" spans="3:5" ht="15.75" customHeight="1">
      <c r="C477" s="18"/>
      <c r="D477" s="18"/>
      <c r="E477" s="18"/>
    </row>
    <row r="478" spans="3:5" ht="15.75" customHeight="1">
      <c r="C478" s="18"/>
      <c r="D478" s="18"/>
      <c r="E478" s="18"/>
    </row>
    <row r="479" spans="3:5" ht="15.75" customHeight="1">
      <c r="C479" s="18"/>
      <c r="D479" s="18"/>
      <c r="E479" s="18"/>
    </row>
    <row r="480" spans="3:5" ht="15.75" customHeight="1">
      <c r="C480" s="18"/>
      <c r="D480" s="18"/>
      <c r="E480" s="18"/>
    </row>
    <row r="481" spans="3:5" ht="15.75" customHeight="1">
      <c r="C481" s="18"/>
      <c r="D481" s="18"/>
      <c r="E481" s="18"/>
    </row>
    <row r="482" spans="3:5" ht="15.75" customHeight="1">
      <c r="C482" s="18"/>
      <c r="D482" s="18"/>
      <c r="E482" s="18"/>
    </row>
    <row r="483" spans="3:5" ht="15.75" customHeight="1">
      <c r="C483" s="18"/>
      <c r="D483" s="18"/>
      <c r="E483" s="18"/>
    </row>
    <row r="484" spans="3:5" ht="15.75" customHeight="1">
      <c r="C484" s="18"/>
      <c r="D484" s="18"/>
      <c r="E484" s="18"/>
    </row>
    <row r="485" spans="3:5" ht="15.75" customHeight="1">
      <c r="C485" s="18"/>
      <c r="D485" s="18"/>
      <c r="E485" s="18"/>
    </row>
    <row r="486" spans="3:5" ht="15.75" customHeight="1">
      <c r="C486" s="18"/>
      <c r="D486" s="18"/>
      <c r="E486" s="18"/>
    </row>
    <row r="487" spans="3:5" ht="15.75" customHeight="1">
      <c r="C487" s="18"/>
      <c r="D487" s="18"/>
      <c r="E487" s="18"/>
    </row>
    <row r="488" spans="3:5" ht="15.75" customHeight="1">
      <c r="C488" s="18"/>
      <c r="D488" s="18"/>
      <c r="E488" s="18"/>
    </row>
    <row r="489" spans="3:5" ht="15.75" customHeight="1">
      <c r="C489" s="18"/>
      <c r="D489" s="18"/>
      <c r="E489" s="18"/>
    </row>
    <row r="490" spans="3:5" ht="15.75" customHeight="1">
      <c r="C490" s="18"/>
      <c r="D490" s="18"/>
      <c r="E490" s="18"/>
    </row>
    <row r="491" spans="3:5" ht="15.75" customHeight="1">
      <c r="C491" s="18"/>
      <c r="D491" s="18"/>
      <c r="E491" s="18"/>
    </row>
    <row r="492" spans="3:5" ht="15.75" customHeight="1">
      <c r="C492" s="18"/>
      <c r="D492" s="18"/>
      <c r="E492" s="18"/>
    </row>
    <row r="493" spans="3:5" ht="15.75" customHeight="1">
      <c r="C493" s="18"/>
      <c r="D493" s="18"/>
      <c r="E493" s="18"/>
    </row>
    <row r="494" spans="3:5" ht="15.75" customHeight="1">
      <c r="C494" s="18"/>
      <c r="D494" s="18"/>
      <c r="E494" s="18"/>
    </row>
    <row r="495" spans="3:5" ht="15.75" customHeight="1">
      <c r="C495" s="18"/>
      <c r="D495" s="18"/>
      <c r="E495" s="18"/>
    </row>
    <row r="496" spans="3:5" ht="15.75" customHeight="1">
      <c r="C496" s="18"/>
      <c r="D496" s="18"/>
      <c r="E496" s="18"/>
    </row>
    <row r="497" spans="3:5" ht="15.75" customHeight="1">
      <c r="C497" s="18"/>
      <c r="D497" s="18"/>
      <c r="E497" s="18"/>
    </row>
    <row r="498" spans="3:5" ht="15.75" customHeight="1">
      <c r="C498" s="18"/>
      <c r="D498" s="18"/>
      <c r="E498" s="18"/>
    </row>
    <row r="499" spans="3:5" ht="15.75" customHeight="1">
      <c r="C499" s="18"/>
      <c r="D499" s="18"/>
      <c r="E499" s="18"/>
    </row>
    <row r="500" spans="3:5" ht="15.75" customHeight="1">
      <c r="C500" s="18"/>
      <c r="D500" s="18"/>
      <c r="E500" s="18"/>
    </row>
    <row r="501" spans="3:5" ht="15.75" customHeight="1">
      <c r="C501" s="18"/>
      <c r="D501" s="18"/>
      <c r="E501" s="18"/>
    </row>
    <row r="502" spans="3:5" ht="15.75" customHeight="1">
      <c r="C502" s="18"/>
      <c r="D502" s="18"/>
      <c r="E502" s="18"/>
    </row>
    <row r="503" spans="3:5" ht="15.75" customHeight="1">
      <c r="C503" s="18"/>
      <c r="D503" s="18"/>
      <c r="E503" s="18"/>
    </row>
    <row r="504" spans="3:5" ht="15.75" customHeight="1">
      <c r="C504" s="18"/>
      <c r="D504" s="18"/>
      <c r="E504" s="18"/>
    </row>
    <row r="505" spans="3:5" ht="15.75" customHeight="1">
      <c r="C505" s="18"/>
      <c r="D505" s="18"/>
      <c r="E505" s="18"/>
    </row>
    <row r="506" spans="3:5" ht="15.75" customHeight="1">
      <c r="C506" s="18"/>
      <c r="D506" s="18"/>
      <c r="E506" s="18"/>
    </row>
    <row r="507" spans="3:5" ht="15.75" customHeight="1">
      <c r="C507" s="18"/>
      <c r="D507" s="18"/>
      <c r="E507" s="18"/>
    </row>
    <row r="508" spans="3:5" ht="15.75" customHeight="1">
      <c r="C508" s="18"/>
      <c r="D508" s="18"/>
      <c r="E508" s="18"/>
    </row>
    <row r="509" spans="3:5" ht="15.75" customHeight="1">
      <c r="C509" s="18"/>
      <c r="D509" s="18"/>
      <c r="E509" s="18"/>
    </row>
    <row r="510" spans="3:5" ht="15.75" customHeight="1">
      <c r="C510" s="18"/>
      <c r="D510" s="18"/>
      <c r="E510" s="18"/>
    </row>
    <row r="511" spans="3:5" ht="15.75" customHeight="1">
      <c r="C511" s="18"/>
      <c r="D511" s="18"/>
      <c r="E511" s="18"/>
    </row>
    <row r="512" spans="3:5" ht="15.75" customHeight="1">
      <c r="C512" s="18"/>
      <c r="D512" s="18"/>
      <c r="E512" s="18"/>
    </row>
    <row r="513" spans="3:5" ht="15.75" customHeight="1">
      <c r="C513" s="18"/>
      <c r="D513" s="18"/>
      <c r="E513" s="18"/>
    </row>
    <row r="514" spans="3:5" ht="15.75" customHeight="1">
      <c r="C514" s="18"/>
      <c r="D514" s="18"/>
      <c r="E514" s="18"/>
    </row>
    <row r="515" spans="3:5" ht="15.75" customHeight="1">
      <c r="C515" s="18"/>
      <c r="D515" s="18"/>
      <c r="E515" s="18"/>
    </row>
    <row r="516" spans="3:5" ht="15.75" customHeight="1">
      <c r="C516" s="18"/>
      <c r="D516" s="18"/>
      <c r="E516" s="18"/>
    </row>
    <row r="517" spans="3:5" ht="15.75" customHeight="1">
      <c r="C517" s="18"/>
      <c r="D517" s="18"/>
      <c r="E517" s="18"/>
    </row>
    <row r="518" spans="3:5" ht="15.75" customHeight="1">
      <c r="C518" s="18"/>
      <c r="D518" s="18"/>
      <c r="E518" s="18"/>
    </row>
    <row r="519" spans="3:5" ht="15.75" customHeight="1">
      <c r="C519" s="18"/>
      <c r="D519" s="18"/>
      <c r="E519" s="18"/>
    </row>
    <row r="520" spans="3:5" ht="15.75" customHeight="1">
      <c r="C520" s="18"/>
      <c r="D520" s="18"/>
      <c r="E520" s="18"/>
    </row>
    <row r="521" spans="3:5" ht="15.75" customHeight="1">
      <c r="C521" s="18"/>
      <c r="D521" s="18"/>
      <c r="E521" s="18"/>
    </row>
    <row r="522" spans="3:5" ht="15.75" customHeight="1">
      <c r="C522" s="18"/>
      <c r="D522" s="18"/>
      <c r="E522" s="18"/>
    </row>
    <row r="523" spans="3:5" ht="15.75" customHeight="1">
      <c r="C523" s="18"/>
      <c r="D523" s="18"/>
      <c r="E523" s="18"/>
    </row>
    <row r="524" spans="3:5" ht="15.75" customHeight="1">
      <c r="C524" s="18"/>
      <c r="D524" s="18"/>
      <c r="E524" s="18"/>
    </row>
    <row r="525" spans="3:5" ht="15.75" customHeight="1">
      <c r="C525" s="18"/>
      <c r="D525" s="18"/>
      <c r="E525" s="18"/>
    </row>
    <row r="526" spans="3:5" ht="15.75" customHeight="1">
      <c r="C526" s="18"/>
      <c r="D526" s="18"/>
      <c r="E526" s="18"/>
    </row>
    <row r="527" spans="3:5" ht="15.75" customHeight="1">
      <c r="C527" s="18"/>
      <c r="D527" s="18"/>
      <c r="E527" s="18"/>
    </row>
    <row r="528" spans="3:5" ht="15.75" customHeight="1">
      <c r="C528" s="18"/>
      <c r="D528" s="18"/>
      <c r="E528" s="18"/>
    </row>
    <row r="529" spans="3:5" ht="15.75" customHeight="1">
      <c r="C529" s="18"/>
      <c r="D529" s="18"/>
      <c r="E529" s="18"/>
    </row>
    <row r="530" spans="3:5" ht="15.75" customHeight="1">
      <c r="C530" s="18"/>
      <c r="D530" s="18"/>
      <c r="E530" s="18"/>
    </row>
    <row r="531" spans="3:5" ht="15.75" customHeight="1">
      <c r="C531" s="18"/>
      <c r="D531" s="18"/>
      <c r="E531" s="18"/>
    </row>
    <row r="532" spans="3:5" ht="15.75" customHeight="1">
      <c r="C532" s="18"/>
      <c r="D532" s="18"/>
      <c r="E532" s="18"/>
    </row>
    <row r="533" spans="3:5" ht="15.75" customHeight="1">
      <c r="C533" s="18"/>
      <c r="D533" s="18"/>
      <c r="E533" s="18"/>
    </row>
    <row r="534" spans="3:5" ht="15.75" customHeight="1">
      <c r="C534" s="18"/>
      <c r="D534" s="18"/>
      <c r="E534" s="18"/>
    </row>
    <row r="535" spans="3:5" ht="15.75" customHeight="1">
      <c r="C535" s="18"/>
      <c r="D535" s="18"/>
      <c r="E535" s="18"/>
    </row>
    <row r="536" spans="3:5" ht="15.75" customHeight="1">
      <c r="C536" s="18"/>
      <c r="D536" s="18"/>
      <c r="E536" s="18"/>
    </row>
    <row r="537" spans="3:5" ht="15.75" customHeight="1">
      <c r="C537" s="18"/>
      <c r="D537" s="18"/>
      <c r="E537" s="18"/>
    </row>
    <row r="538" spans="3:5" ht="15.75" customHeight="1">
      <c r="C538" s="18"/>
      <c r="D538" s="18"/>
      <c r="E538" s="18"/>
    </row>
    <row r="539" spans="3:5" ht="15.75" customHeight="1">
      <c r="C539" s="18"/>
      <c r="D539" s="18"/>
      <c r="E539" s="18"/>
    </row>
    <row r="540" spans="3:5" ht="15.75" customHeight="1">
      <c r="C540" s="18"/>
      <c r="D540" s="18"/>
      <c r="E540" s="18"/>
    </row>
    <row r="541" spans="3:5" ht="15.75" customHeight="1">
      <c r="C541" s="18"/>
      <c r="D541" s="18"/>
      <c r="E541" s="18"/>
    </row>
    <row r="542" spans="3:5" ht="15.75" customHeight="1">
      <c r="C542" s="18"/>
      <c r="D542" s="18"/>
      <c r="E542" s="18"/>
    </row>
    <row r="543" spans="3:5" ht="15.75" customHeight="1">
      <c r="C543" s="18"/>
      <c r="D543" s="18"/>
      <c r="E543" s="18"/>
    </row>
    <row r="544" spans="3:5" ht="15.75" customHeight="1">
      <c r="C544" s="18"/>
      <c r="D544" s="18"/>
      <c r="E544" s="18"/>
    </row>
    <row r="545" spans="3:5" ht="15.75" customHeight="1">
      <c r="C545" s="18"/>
      <c r="D545" s="18"/>
      <c r="E545" s="18"/>
    </row>
    <row r="546" spans="3:5" ht="15.75" customHeight="1">
      <c r="C546" s="18"/>
      <c r="D546" s="18"/>
      <c r="E546" s="18"/>
    </row>
    <row r="547" spans="3:5" ht="15.75" customHeight="1">
      <c r="C547" s="18"/>
      <c r="D547" s="18"/>
      <c r="E547" s="18"/>
    </row>
    <row r="548" spans="3:5" ht="15.75" customHeight="1">
      <c r="C548" s="18"/>
      <c r="D548" s="18"/>
      <c r="E548" s="18"/>
    </row>
    <row r="549" spans="3:5" ht="15.75" customHeight="1">
      <c r="C549" s="18"/>
      <c r="D549" s="18"/>
      <c r="E549" s="18"/>
    </row>
    <row r="550" spans="3:5" ht="15.75" customHeight="1">
      <c r="C550" s="18"/>
      <c r="D550" s="18"/>
      <c r="E550" s="18"/>
    </row>
    <row r="551" spans="3:5" ht="15.75" customHeight="1">
      <c r="C551" s="18"/>
      <c r="D551" s="18"/>
      <c r="E551" s="18"/>
    </row>
    <row r="552" spans="3:5" ht="15.75" customHeight="1">
      <c r="C552" s="18"/>
      <c r="D552" s="18"/>
      <c r="E552" s="18"/>
    </row>
    <row r="553" spans="3:5" ht="15.75" customHeight="1">
      <c r="C553" s="18"/>
      <c r="D553" s="18"/>
      <c r="E553" s="18"/>
    </row>
    <row r="554" spans="3:5" ht="15.75" customHeight="1">
      <c r="C554" s="18"/>
      <c r="D554" s="18"/>
      <c r="E554" s="18"/>
    </row>
    <row r="555" spans="3:5" ht="15.75" customHeight="1">
      <c r="C555" s="18"/>
      <c r="D555" s="18"/>
      <c r="E555" s="18"/>
    </row>
    <row r="556" spans="3:5" ht="15.75" customHeight="1">
      <c r="C556" s="18"/>
      <c r="D556" s="18"/>
      <c r="E556" s="18"/>
    </row>
    <row r="557" spans="3:5" ht="15.75" customHeight="1">
      <c r="C557" s="18"/>
      <c r="D557" s="18"/>
      <c r="E557" s="18"/>
    </row>
    <row r="558" spans="3:5" ht="15.75" customHeight="1">
      <c r="C558" s="18"/>
      <c r="D558" s="18"/>
      <c r="E558" s="18"/>
    </row>
    <row r="559" spans="3:5" ht="15.75" customHeight="1">
      <c r="C559" s="18"/>
      <c r="D559" s="18"/>
      <c r="E559" s="18"/>
    </row>
    <row r="560" spans="3:5" ht="15.75" customHeight="1">
      <c r="C560" s="18"/>
      <c r="D560" s="18"/>
      <c r="E560" s="18"/>
    </row>
    <row r="561" spans="3:5" ht="15.75" customHeight="1">
      <c r="C561" s="18"/>
      <c r="D561" s="18"/>
      <c r="E561" s="18"/>
    </row>
    <row r="562" spans="3:5" ht="15.75" customHeight="1">
      <c r="C562" s="18"/>
      <c r="D562" s="18"/>
      <c r="E562" s="18"/>
    </row>
    <row r="563" spans="3:5" ht="15.75" customHeight="1">
      <c r="C563" s="18"/>
      <c r="D563" s="18"/>
      <c r="E563" s="18"/>
    </row>
    <row r="564" spans="3:5" ht="15.75" customHeight="1">
      <c r="C564" s="18"/>
      <c r="D564" s="18"/>
      <c r="E564" s="18"/>
    </row>
    <row r="565" spans="3:5" ht="15.75" customHeight="1">
      <c r="C565" s="18"/>
      <c r="D565" s="18"/>
      <c r="E565" s="18"/>
    </row>
    <row r="566" spans="3:5" ht="15.75" customHeight="1">
      <c r="C566" s="18"/>
      <c r="D566" s="18"/>
      <c r="E566" s="18"/>
    </row>
    <row r="567" spans="3:5" ht="15.75" customHeight="1">
      <c r="C567" s="18"/>
      <c r="D567" s="18"/>
      <c r="E567" s="18"/>
    </row>
    <row r="568" spans="3:5" ht="15.75" customHeight="1">
      <c r="C568" s="18"/>
      <c r="D568" s="18"/>
      <c r="E568" s="18"/>
    </row>
    <row r="569" spans="3:5" ht="15.75" customHeight="1">
      <c r="C569" s="18"/>
      <c r="D569" s="18"/>
      <c r="E569" s="18"/>
    </row>
    <row r="570" spans="3:5" ht="15.75" customHeight="1">
      <c r="C570" s="18"/>
      <c r="D570" s="18"/>
      <c r="E570" s="18"/>
    </row>
    <row r="571" spans="3:5" ht="15.75" customHeight="1">
      <c r="C571" s="18"/>
      <c r="D571" s="18"/>
      <c r="E571" s="18"/>
    </row>
    <row r="572" spans="3:5" ht="15.75" customHeight="1">
      <c r="C572" s="18"/>
      <c r="D572" s="18"/>
      <c r="E572" s="18"/>
    </row>
    <row r="573" spans="3:5" ht="15.75" customHeight="1">
      <c r="C573" s="18"/>
      <c r="D573" s="18"/>
      <c r="E573" s="18"/>
    </row>
    <row r="574" spans="3:5" ht="15.75" customHeight="1">
      <c r="C574" s="18"/>
      <c r="D574" s="18"/>
      <c r="E574" s="18"/>
    </row>
    <row r="575" spans="3:5" ht="15.75" customHeight="1">
      <c r="C575" s="18"/>
      <c r="D575" s="18"/>
      <c r="E575" s="18"/>
    </row>
    <row r="576" spans="3:5" ht="15.75" customHeight="1">
      <c r="C576" s="18"/>
      <c r="D576" s="18"/>
      <c r="E576" s="18"/>
    </row>
    <row r="577" spans="3:5" ht="15.75" customHeight="1">
      <c r="C577" s="18"/>
      <c r="D577" s="18"/>
      <c r="E577" s="18"/>
    </row>
    <row r="578" spans="3:5" ht="15.75" customHeight="1">
      <c r="C578" s="18"/>
      <c r="D578" s="18"/>
      <c r="E578" s="18"/>
    </row>
    <row r="579" spans="3:5" ht="15.75" customHeight="1">
      <c r="C579" s="18"/>
      <c r="D579" s="18"/>
      <c r="E579" s="18"/>
    </row>
    <row r="580" spans="3:5" ht="15.75" customHeight="1">
      <c r="C580" s="18"/>
      <c r="D580" s="18"/>
      <c r="E580" s="18"/>
    </row>
    <row r="581" spans="3:5" ht="15.75" customHeight="1">
      <c r="C581" s="18"/>
      <c r="D581" s="18"/>
      <c r="E581" s="18"/>
    </row>
    <row r="582" spans="3:5" ht="15.75" customHeight="1">
      <c r="C582" s="18"/>
      <c r="D582" s="18"/>
      <c r="E582" s="18"/>
    </row>
    <row r="583" spans="3:5" ht="15.75" customHeight="1">
      <c r="C583" s="18"/>
      <c r="D583" s="18"/>
      <c r="E583" s="18"/>
    </row>
    <row r="584" spans="3:5" ht="15.75" customHeight="1">
      <c r="C584" s="18"/>
      <c r="D584" s="18"/>
      <c r="E584" s="18"/>
    </row>
    <row r="585" spans="3:5" ht="15.75" customHeight="1">
      <c r="C585" s="18"/>
      <c r="D585" s="18"/>
      <c r="E585" s="18"/>
    </row>
    <row r="586" spans="3:5" ht="15.75" customHeight="1">
      <c r="C586" s="18"/>
      <c r="D586" s="18"/>
      <c r="E586" s="18"/>
    </row>
    <row r="587" spans="3:5" ht="15.75" customHeight="1">
      <c r="C587" s="18"/>
      <c r="D587" s="18"/>
      <c r="E587" s="18"/>
    </row>
    <row r="588" spans="3:5" ht="15.75" customHeight="1">
      <c r="C588" s="18"/>
      <c r="D588" s="18"/>
      <c r="E588" s="18"/>
    </row>
    <row r="589" spans="3:5" ht="15.75" customHeight="1">
      <c r="C589" s="18"/>
      <c r="D589" s="18"/>
      <c r="E589" s="18"/>
    </row>
    <row r="590" spans="3:5" ht="15.75" customHeight="1">
      <c r="C590" s="18"/>
      <c r="D590" s="18"/>
      <c r="E590" s="18"/>
    </row>
    <row r="591" spans="3:5" ht="15.75" customHeight="1">
      <c r="C591" s="18"/>
      <c r="D591" s="18"/>
      <c r="E591" s="18"/>
    </row>
    <row r="592" spans="3:5" ht="15.75" customHeight="1">
      <c r="C592" s="18"/>
      <c r="D592" s="18"/>
      <c r="E592" s="18"/>
    </row>
    <row r="593" spans="3:5" ht="15.75" customHeight="1">
      <c r="C593" s="18"/>
      <c r="D593" s="18"/>
      <c r="E593" s="18"/>
    </row>
    <row r="594" spans="3:5" ht="15.75" customHeight="1">
      <c r="C594" s="18"/>
      <c r="D594" s="18"/>
      <c r="E594" s="18"/>
    </row>
    <row r="595" spans="3:5" ht="15.75" customHeight="1">
      <c r="C595" s="18"/>
      <c r="D595" s="18"/>
      <c r="E595" s="18"/>
    </row>
    <row r="596" spans="3:5" ht="15.75" customHeight="1">
      <c r="C596" s="18"/>
      <c r="D596" s="18"/>
      <c r="E596" s="18"/>
    </row>
    <row r="597" spans="3:5" ht="15.75" customHeight="1">
      <c r="C597" s="18"/>
      <c r="D597" s="18"/>
      <c r="E597" s="18"/>
    </row>
    <row r="598" spans="3:5" ht="15.75" customHeight="1">
      <c r="C598" s="18"/>
      <c r="D598" s="18"/>
      <c r="E598" s="18"/>
    </row>
    <row r="599" spans="3:5" ht="15.75" customHeight="1">
      <c r="C599" s="18"/>
      <c r="D599" s="18"/>
      <c r="E599" s="18"/>
    </row>
    <row r="600" spans="3:5" ht="15.75" customHeight="1">
      <c r="C600" s="18"/>
      <c r="D600" s="18"/>
      <c r="E600" s="18"/>
    </row>
    <row r="601" spans="3:5" ht="15.75" customHeight="1">
      <c r="C601" s="18"/>
      <c r="D601" s="18"/>
      <c r="E601" s="18"/>
    </row>
    <row r="602" spans="3:5" ht="15.75" customHeight="1">
      <c r="C602" s="18"/>
      <c r="D602" s="18"/>
      <c r="E602" s="18"/>
    </row>
    <row r="603" spans="3:5" ht="15.75" customHeight="1">
      <c r="C603" s="18"/>
      <c r="D603" s="18"/>
      <c r="E603" s="18"/>
    </row>
    <row r="604" spans="3:5" ht="15.75" customHeight="1">
      <c r="C604" s="18"/>
      <c r="D604" s="18"/>
      <c r="E604" s="18"/>
    </row>
    <row r="605" spans="3:5" ht="15.75" customHeight="1">
      <c r="C605" s="18"/>
      <c r="D605" s="18"/>
      <c r="E605" s="18"/>
    </row>
    <row r="606" spans="3:5" ht="15.75" customHeight="1">
      <c r="C606" s="18"/>
      <c r="D606" s="18"/>
      <c r="E606" s="18"/>
    </row>
    <row r="607" spans="3:5" ht="15.75" customHeight="1">
      <c r="C607" s="18"/>
      <c r="D607" s="18"/>
      <c r="E607" s="18"/>
    </row>
    <row r="608" spans="3:5" ht="15.75" customHeight="1">
      <c r="C608" s="18"/>
      <c r="D608" s="18"/>
      <c r="E608" s="18"/>
    </row>
    <row r="609" spans="3:5" ht="15.75" customHeight="1">
      <c r="C609" s="18"/>
      <c r="D609" s="18"/>
      <c r="E609" s="18"/>
    </row>
    <row r="610" spans="3:5" ht="15.75" customHeight="1">
      <c r="C610" s="18"/>
      <c r="D610" s="18"/>
      <c r="E610" s="18"/>
    </row>
    <row r="611" spans="3:5" ht="15.75" customHeight="1">
      <c r="C611" s="18"/>
      <c r="D611" s="18"/>
      <c r="E611" s="18"/>
    </row>
    <row r="612" spans="3:5" ht="15.75" customHeight="1">
      <c r="C612" s="18"/>
      <c r="D612" s="18"/>
      <c r="E612" s="18"/>
    </row>
    <row r="613" spans="3:5" ht="15.75" customHeight="1">
      <c r="C613" s="18"/>
      <c r="D613" s="18"/>
      <c r="E613" s="18"/>
    </row>
    <row r="614" spans="3:5" ht="15.75" customHeight="1">
      <c r="C614" s="18"/>
      <c r="D614" s="18"/>
      <c r="E614" s="18"/>
    </row>
    <row r="615" spans="3:5" ht="15.75" customHeight="1">
      <c r="C615" s="18"/>
      <c r="D615" s="18"/>
      <c r="E615" s="18"/>
    </row>
    <row r="616" spans="3:5" ht="15.75" customHeight="1">
      <c r="C616" s="18"/>
      <c r="D616" s="18"/>
      <c r="E616" s="18"/>
    </row>
    <row r="617" spans="3:5" ht="15.75" customHeight="1">
      <c r="C617" s="18"/>
      <c r="D617" s="18"/>
      <c r="E617" s="18"/>
    </row>
    <row r="618" spans="3:5" ht="15.75" customHeight="1">
      <c r="C618" s="18"/>
      <c r="D618" s="18"/>
      <c r="E618" s="18"/>
    </row>
    <row r="619" spans="3:5" ht="15.75" customHeight="1">
      <c r="C619" s="18"/>
      <c r="D619" s="18"/>
      <c r="E619" s="18"/>
    </row>
    <row r="620" spans="3:5" ht="15.75" customHeight="1">
      <c r="C620" s="18"/>
      <c r="D620" s="18"/>
      <c r="E620" s="18"/>
    </row>
    <row r="621" spans="3:5" ht="15.75" customHeight="1">
      <c r="C621" s="18"/>
      <c r="D621" s="18"/>
      <c r="E621" s="18"/>
    </row>
    <row r="622" spans="3:5" ht="15.75" customHeight="1">
      <c r="C622" s="18"/>
      <c r="D622" s="18"/>
      <c r="E622" s="18"/>
    </row>
    <row r="623" spans="3:5" ht="15.75" customHeight="1">
      <c r="C623" s="18"/>
      <c r="D623" s="18"/>
      <c r="E623" s="18"/>
    </row>
    <row r="624" spans="3:5" ht="15.75" customHeight="1">
      <c r="C624" s="18"/>
      <c r="D624" s="18"/>
      <c r="E624" s="18"/>
    </row>
    <row r="625" spans="3:5" ht="15.75" customHeight="1">
      <c r="C625" s="18"/>
      <c r="D625" s="18"/>
      <c r="E625" s="18"/>
    </row>
    <row r="626" spans="3:5" ht="15.75" customHeight="1">
      <c r="C626" s="18"/>
      <c r="D626" s="18"/>
      <c r="E626" s="18"/>
    </row>
    <row r="627" spans="3:5" ht="15.75" customHeight="1">
      <c r="C627" s="18"/>
      <c r="D627" s="18"/>
      <c r="E627" s="18"/>
    </row>
    <row r="628" spans="3:5" ht="15.75" customHeight="1">
      <c r="C628" s="18"/>
      <c r="D628" s="18"/>
      <c r="E628" s="18"/>
    </row>
    <row r="629" spans="3:5" ht="15.75" customHeight="1">
      <c r="C629" s="18"/>
      <c r="D629" s="18"/>
      <c r="E629" s="18"/>
    </row>
    <row r="630" spans="3:5" ht="15.75" customHeight="1">
      <c r="C630" s="18"/>
      <c r="D630" s="18"/>
      <c r="E630" s="18"/>
    </row>
    <row r="631" spans="3:5" ht="15.75" customHeight="1">
      <c r="C631" s="18"/>
      <c r="D631" s="18"/>
      <c r="E631" s="18"/>
    </row>
    <row r="632" spans="3:5" ht="15.75" customHeight="1">
      <c r="C632" s="18"/>
      <c r="D632" s="18"/>
      <c r="E632" s="18"/>
    </row>
    <row r="633" spans="3:5" ht="15.75" customHeight="1">
      <c r="C633" s="18"/>
      <c r="D633" s="18"/>
      <c r="E633" s="18"/>
    </row>
    <row r="634" spans="3:5" ht="15.75" customHeight="1">
      <c r="C634" s="18"/>
      <c r="D634" s="18"/>
      <c r="E634" s="18"/>
    </row>
    <row r="635" spans="3:5" ht="15.75" customHeight="1">
      <c r="C635" s="18"/>
      <c r="D635" s="18"/>
      <c r="E635" s="18"/>
    </row>
    <row r="636" spans="3:5" ht="15.75" customHeight="1">
      <c r="C636" s="18"/>
      <c r="D636" s="18"/>
      <c r="E636" s="18"/>
    </row>
    <row r="637" spans="3:5" ht="15.75" customHeight="1">
      <c r="C637" s="18"/>
      <c r="D637" s="18"/>
      <c r="E637" s="18"/>
    </row>
    <row r="638" spans="3:5" ht="15.75" customHeight="1">
      <c r="C638" s="18"/>
      <c r="D638" s="18"/>
      <c r="E638" s="18"/>
    </row>
    <row r="639" spans="3:5" ht="15.75" customHeight="1">
      <c r="C639" s="18"/>
      <c r="D639" s="18"/>
      <c r="E639" s="18"/>
    </row>
    <row r="640" spans="3:5" ht="15.75" customHeight="1">
      <c r="C640" s="18"/>
      <c r="D640" s="18"/>
      <c r="E640" s="18"/>
    </row>
    <row r="641" spans="3:5" ht="15.75" customHeight="1">
      <c r="C641" s="18"/>
      <c r="D641" s="18"/>
      <c r="E641" s="18"/>
    </row>
    <row r="642" spans="3:5" ht="15.75" customHeight="1">
      <c r="C642" s="18"/>
      <c r="D642" s="18"/>
      <c r="E642" s="18"/>
    </row>
    <row r="643" spans="3:5" ht="15.75" customHeight="1">
      <c r="C643" s="18"/>
      <c r="D643" s="18"/>
      <c r="E643" s="18"/>
    </row>
    <row r="644" spans="3:5" ht="15.75" customHeight="1">
      <c r="C644" s="18"/>
      <c r="D644" s="18"/>
      <c r="E644" s="18"/>
    </row>
    <row r="645" spans="3:5" ht="15.75" customHeight="1">
      <c r="C645" s="18"/>
      <c r="D645" s="18"/>
      <c r="E645" s="18"/>
    </row>
    <row r="646" spans="3:5" ht="15.75" customHeight="1">
      <c r="C646" s="18"/>
      <c r="D646" s="18"/>
      <c r="E646" s="18"/>
    </row>
    <row r="647" spans="3:5" ht="15.75" customHeight="1">
      <c r="C647" s="18"/>
      <c r="D647" s="18"/>
      <c r="E647" s="18"/>
    </row>
    <row r="648" spans="3:5" ht="15.75" customHeight="1">
      <c r="C648" s="18"/>
      <c r="D648" s="18"/>
      <c r="E648" s="18"/>
    </row>
    <row r="649" spans="3:5" ht="15.75" customHeight="1">
      <c r="C649" s="18"/>
      <c r="D649" s="18"/>
      <c r="E649" s="18"/>
    </row>
    <row r="650" spans="3:5" ht="15.75" customHeight="1">
      <c r="C650" s="18"/>
      <c r="D650" s="18"/>
      <c r="E650" s="18"/>
    </row>
    <row r="651" spans="3:5" ht="15.75" customHeight="1">
      <c r="C651" s="18"/>
      <c r="D651" s="18"/>
      <c r="E651" s="18"/>
    </row>
    <row r="652" spans="3:5" ht="15.75" customHeight="1">
      <c r="C652" s="18"/>
      <c r="D652" s="18"/>
      <c r="E652" s="18"/>
    </row>
    <row r="653" spans="3:5" ht="15.75" customHeight="1">
      <c r="C653" s="18"/>
      <c r="D653" s="18"/>
      <c r="E653" s="18"/>
    </row>
    <row r="654" spans="3:5" ht="15.75" customHeight="1">
      <c r="C654" s="18"/>
      <c r="D654" s="18"/>
      <c r="E654" s="18"/>
    </row>
    <row r="655" spans="3:5" ht="15.75" customHeight="1">
      <c r="C655" s="18"/>
      <c r="D655" s="18"/>
      <c r="E655" s="18"/>
    </row>
    <row r="656" spans="3:5" ht="15.75" customHeight="1">
      <c r="C656" s="18"/>
      <c r="D656" s="18"/>
      <c r="E656" s="18"/>
    </row>
    <row r="657" spans="3:5" ht="15.75" customHeight="1">
      <c r="C657" s="18"/>
      <c r="D657" s="18"/>
      <c r="E657" s="18"/>
    </row>
    <row r="658" spans="3:5" ht="15.75" customHeight="1">
      <c r="C658" s="18"/>
      <c r="D658" s="18"/>
      <c r="E658" s="18"/>
    </row>
    <row r="659" spans="3:5" ht="15.75" customHeight="1">
      <c r="C659" s="18"/>
      <c r="D659" s="18"/>
      <c r="E659" s="18"/>
    </row>
    <row r="660" spans="3:5" ht="15.75" customHeight="1">
      <c r="C660" s="18"/>
      <c r="D660" s="18"/>
      <c r="E660" s="18"/>
    </row>
    <row r="661" spans="3:5" ht="15.75" customHeight="1">
      <c r="C661" s="18"/>
      <c r="D661" s="18"/>
      <c r="E661" s="18"/>
    </row>
    <row r="662" spans="3:5" ht="15.75" customHeight="1">
      <c r="C662" s="18"/>
      <c r="D662" s="18"/>
      <c r="E662" s="18"/>
    </row>
    <row r="663" spans="3:5" ht="15.75" customHeight="1">
      <c r="C663" s="18"/>
      <c r="D663" s="18"/>
      <c r="E663" s="18"/>
    </row>
    <row r="664" spans="3:5" ht="15.75" customHeight="1">
      <c r="C664" s="18"/>
      <c r="D664" s="18"/>
      <c r="E664" s="18"/>
    </row>
    <row r="665" spans="3:5" ht="15.75" customHeight="1">
      <c r="C665" s="18"/>
      <c r="D665" s="18"/>
      <c r="E665" s="18"/>
    </row>
    <row r="666" spans="3:5" ht="15.75" customHeight="1">
      <c r="C666" s="18"/>
      <c r="D666" s="18"/>
      <c r="E666" s="18"/>
    </row>
    <row r="667" spans="3:5" ht="15.75" customHeight="1">
      <c r="C667" s="18"/>
      <c r="D667" s="18"/>
      <c r="E667" s="18"/>
    </row>
    <row r="668" spans="3:5" ht="15.75" customHeight="1">
      <c r="C668" s="18"/>
      <c r="D668" s="18"/>
      <c r="E668" s="18"/>
    </row>
    <row r="669" spans="3:5" ht="15.75" customHeight="1">
      <c r="C669" s="18"/>
      <c r="D669" s="18"/>
      <c r="E669" s="18"/>
    </row>
    <row r="670" spans="3:5" ht="15.75" customHeight="1">
      <c r="C670" s="18"/>
      <c r="D670" s="18"/>
      <c r="E670" s="18"/>
    </row>
    <row r="671" spans="3:5" ht="15.75" customHeight="1">
      <c r="C671" s="18"/>
      <c r="D671" s="18"/>
      <c r="E671" s="18"/>
    </row>
    <row r="672" spans="3:5" ht="15.75" customHeight="1">
      <c r="C672" s="18"/>
      <c r="D672" s="18"/>
      <c r="E672" s="18"/>
    </row>
    <row r="673" spans="3:5" ht="15.75" customHeight="1">
      <c r="C673" s="18"/>
      <c r="D673" s="18"/>
      <c r="E673" s="18"/>
    </row>
    <row r="674" spans="3:5" ht="15.75" customHeight="1">
      <c r="C674" s="18"/>
      <c r="D674" s="18"/>
      <c r="E674" s="18"/>
    </row>
    <row r="675" spans="3:5" ht="15.75" customHeight="1">
      <c r="C675" s="18"/>
      <c r="D675" s="18"/>
      <c r="E675" s="18"/>
    </row>
    <row r="676" spans="3:5" ht="15.75" customHeight="1">
      <c r="C676" s="18"/>
      <c r="D676" s="18"/>
      <c r="E676" s="18"/>
    </row>
    <row r="677" spans="3:5" ht="15.75" customHeight="1">
      <c r="C677" s="18"/>
      <c r="D677" s="18"/>
      <c r="E677" s="18"/>
    </row>
    <row r="678" spans="3:5" ht="15.75" customHeight="1">
      <c r="C678" s="18"/>
      <c r="D678" s="18"/>
      <c r="E678" s="18"/>
    </row>
    <row r="679" spans="3:5" ht="15.75" customHeight="1">
      <c r="C679" s="18"/>
      <c r="D679" s="18"/>
      <c r="E679" s="18"/>
    </row>
    <row r="680" spans="3:5" ht="15.75" customHeight="1">
      <c r="C680" s="18"/>
      <c r="D680" s="18"/>
      <c r="E680" s="18"/>
    </row>
    <row r="681" spans="3:5" ht="15.75" customHeight="1">
      <c r="C681" s="18"/>
      <c r="D681" s="18"/>
      <c r="E681" s="18"/>
    </row>
    <row r="682" spans="3:5" ht="15.75" customHeight="1">
      <c r="C682" s="18"/>
      <c r="D682" s="18"/>
      <c r="E682" s="18"/>
    </row>
    <row r="683" spans="3:5" ht="15.75" customHeight="1">
      <c r="C683" s="18"/>
      <c r="D683" s="18"/>
      <c r="E683" s="18"/>
    </row>
    <row r="684" spans="3:5" ht="15.75" customHeight="1">
      <c r="C684" s="18"/>
      <c r="D684" s="18"/>
      <c r="E684" s="18"/>
    </row>
    <row r="685" spans="3:5" ht="15.75" customHeight="1">
      <c r="C685" s="18"/>
      <c r="D685" s="18"/>
      <c r="E685" s="18"/>
    </row>
    <row r="686" spans="3:5" ht="15.75" customHeight="1">
      <c r="C686" s="18"/>
      <c r="D686" s="18"/>
      <c r="E686" s="18"/>
    </row>
    <row r="687" spans="3:5" ht="15.75" customHeight="1">
      <c r="C687" s="18"/>
      <c r="D687" s="18"/>
      <c r="E687" s="18"/>
    </row>
    <row r="688" spans="3:5" ht="15.75" customHeight="1">
      <c r="C688" s="18"/>
      <c r="D688" s="18"/>
      <c r="E688" s="18"/>
    </row>
    <row r="689" spans="3:5" ht="15.75" customHeight="1">
      <c r="C689" s="18"/>
      <c r="D689" s="18"/>
      <c r="E689" s="18"/>
    </row>
    <row r="690" spans="3:5" ht="15.75" customHeight="1">
      <c r="C690" s="18"/>
      <c r="D690" s="18"/>
      <c r="E690" s="18"/>
    </row>
    <row r="691" spans="3:5" ht="15.75" customHeight="1">
      <c r="C691" s="18"/>
      <c r="D691" s="18"/>
      <c r="E691" s="18"/>
    </row>
    <row r="692" spans="3:5" ht="15.75" customHeight="1">
      <c r="C692" s="18"/>
      <c r="D692" s="18"/>
      <c r="E692" s="18"/>
    </row>
    <row r="693" spans="3:5" ht="15.75" customHeight="1">
      <c r="C693" s="18"/>
      <c r="D693" s="18"/>
      <c r="E693" s="18"/>
    </row>
    <row r="694" spans="3:5" ht="15.75" customHeight="1">
      <c r="C694" s="18"/>
      <c r="D694" s="18"/>
      <c r="E694" s="18"/>
    </row>
    <row r="695" spans="3:5" ht="15.75" customHeight="1">
      <c r="C695" s="18"/>
      <c r="D695" s="18"/>
      <c r="E695" s="18"/>
    </row>
    <row r="696" spans="3:5" ht="15.75" customHeight="1">
      <c r="C696" s="18"/>
      <c r="D696" s="18"/>
      <c r="E696" s="18"/>
    </row>
    <row r="697" spans="3:5" ht="15.75" customHeight="1">
      <c r="C697" s="18"/>
      <c r="D697" s="18"/>
      <c r="E697" s="18"/>
    </row>
    <row r="698" spans="3:5" ht="15.75" customHeight="1">
      <c r="C698" s="18"/>
      <c r="D698" s="18"/>
      <c r="E698" s="18"/>
    </row>
    <row r="699" spans="3:5" ht="15.75" customHeight="1">
      <c r="C699" s="18"/>
      <c r="D699" s="18"/>
      <c r="E699" s="18"/>
    </row>
    <row r="700" spans="3:5" ht="15.75" customHeight="1">
      <c r="C700" s="18"/>
      <c r="D700" s="18"/>
      <c r="E700" s="18"/>
    </row>
    <row r="701" spans="3:5" ht="15.75" customHeight="1">
      <c r="C701" s="18"/>
      <c r="D701" s="18"/>
      <c r="E701" s="18"/>
    </row>
    <row r="702" spans="3:5" ht="15.75" customHeight="1">
      <c r="C702" s="18"/>
      <c r="D702" s="18"/>
      <c r="E702" s="18"/>
    </row>
    <row r="703" spans="3:5" ht="15.75" customHeight="1">
      <c r="C703" s="18"/>
      <c r="D703" s="18"/>
      <c r="E703" s="18"/>
    </row>
    <row r="704" spans="3:5" ht="15.75" customHeight="1">
      <c r="C704" s="18"/>
      <c r="D704" s="18"/>
      <c r="E704" s="18"/>
    </row>
    <row r="705" spans="3:5" ht="15.75" customHeight="1">
      <c r="C705" s="18"/>
      <c r="D705" s="18"/>
      <c r="E705" s="18"/>
    </row>
    <row r="706" spans="3:5" ht="15.75" customHeight="1">
      <c r="C706" s="18"/>
      <c r="D706" s="18"/>
      <c r="E706" s="18"/>
    </row>
    <row r="707" spans="3:5" ht="15.75" customHeight="1">
      <c r="C707" s="18"/>
      <c r="D707" s="18"/>
      <c r="E707" s="18"/>
    </row>
    <row r="708" spans="3:5" ht="15.75" customHeight="1">
      <c r="C708" s="18"/>
      <c r="D708" s="18"/>
      <c r="E708" s="18"/>
    </row>
    <row r="709" spans="3:5" ht="15.75" customHeight="1">
      <c r="C709" s="18"/>
      <c r="D709" s="18"/>
      <c r="E709" s="18"/>
    </row>
    <row r="710" spans="3:5" ht="15.75" customHeight="1">
      <c r="C710" s="18"/>
      <c r="D710" s="18"/>
      <c r="E710" s="18"/>
    </row>
    <row r="711" spans="3:5" ht="15.75" customHeight="1">
      <c r="C711" s="18"/>
      <c r="D711" s="18"/>
      <c r="E711" s="18"/>
    </row>
    <row r="712" spans="3:5" ht="15.75" customHeight="1">
      <c r="C712" s="18"/>
      <c r="D712" s="18"/>
      <c r="E712" s="18"/>
    </row>
    <row r="713" spans="3:5" ht="15.75" customHeight="1">
      <c r="C713" s="18"/>
      <c r="D713" s="18"/>
      <c r="E713" s="18"/>
    </row>
    <row r="714" spans="3:5" ht="15.75" customHeight="1">
      <c r="C714" s="18"/>
      <c r="D714" s="18"/>
      <c r="E714" s="18"/>
    </row>
    <row r="715" spans="3:5" ht="15.75" customHeight="1">
      <c r="C715" s="18"/>
      <c r="D715" s="18"/>
      <c r="E715" s="18"/>
    </row>
    <row r="716" spans="3:5" ht="15.75" customHeight="1">
      <c r="C716" s="18"/>
      <c r="D716" s="18"/>
      <c r="E716" s="18"/>
    </row>
    <row r="717" spans="3:5" ht="15.75" customHeight="1">
      <c r="C717" s="18"/>
      <c r="D717" s="18"/>
      <c r="E717" s="18"/>
    </row>
    <row r="718" spans="3:5" ht="15.75" customHeight="1">
      <c r="C718" s="18"/>
      <c r="D718" s="18"/>
      <c r="E718" s="18"/>
    </row>
    <row r="719" spans="3:5" ht="15.75" customHeight="1">
      <c r="C719" s="18"/>
      <c r="D719" s="18"/>
      <c r="E719" s="18"/>
    </row>
    <row r="720" spans="3:5" ht="15.75" customHeight="1">
      <c r="C720" s="18"/>
      <c r="D720" s="18"/>
      <c r="E720" s="18"/>
    </row>
    <row r="721" spans="3:5" ht="15.75" customHeight="1">
      <c r="C721" s="18"/>
      <c r="D721" s="18"/>
      <c r="E721" s="18"/>
    </row>
    <row r="722" spans="3:5" ht="15.75" customHeight="1">
      <c r="C722" s="18"/>
      <c r="D722" s="18"/>
      <c r="E722" s="18"/>
    </row>
    <row r="723" spans="3:5" ht="15.75" customHeight="1">
      <c r="C723" s="18"/>
      <c r="D723" s="18"/>
      <c r="E723" s="18"/>
    </row>
    <row r="724" spans="3:5" ht="15.75" customHeight="1">
      <c r="C724" s="18"/>
      <c r="D724" s="18"/>
      <c r="E724" s="18"/>
    </row>
    <row r="725" spans="3:5" ht="15.75" customHeight="1">
      <c r="C725" s="18"/>
      <c r="D725" s="18"/>
      <c r="E725" s="18"/>
    </row>
    <row r="726" spans="3:5" ht="15.75" customHeight="1">
      <c r="C726" s="18"/>
      <c r="D726" s="18"/>
      <c r="E726" s="18"/>
    </row>
    <row r="727" spans="3:5" ht="15.75" customHeight="1">
      <c r="C727" s="18"/>
      <c r="D727" s="18"/>
      <c r="E727" s="18"/>
    </row>
    <row r="728" spans="3:5" ht="15.75" customHeight="1">
      <c r="C728" s="18"/>
      <c r="D728" s="18"/>
      <c r="E728" s="18"/>
    </row>
    <row r="729" spans="3:5" ht="15.75" customHeight="1">
      <c r="C729" s="18"/>
      <c r="D729" s="18"/>
      <c r="E729" s="18"/>
    </row>
    <row r="730" spans="3:5" ht="15.75" customHeight="1">
      <c r="C730" s="18"/>
      <c r="D730" s="18"/>
      <c r="E730" s="18"/>
    </row>
    <row r="731" spans="3:5" ht="15.75" customHeight="1">
      <c r="C731" s="18"/>
      <c r="D731" s="18"/>
      <c r="E731" s="18"/>
    </row>
    <row r="732" spans="3:5" ht="15.75" customHeight="1">
      <c r="C732" s="18"/>
      <c r="D732" s="18"/>
      <c r="E732" s="18"/>
    </row>
    <row r="733" spans="3:5" ht="15.75" customHeight="1">
      <c r="C733" s="18"/>
      <c r="D733" s="18"/>
      <c r="E733" s="18"/>
    </row>
    <row r="734" spans="3:5" ht="15.75" customHeight="1">
      <c r="C734" s="18"/>
      <c r="D734" s="18"/>
      <c r="E734" s="18"/>
    </row>
    <row r="735" spans="3:5" ht="15.75" customHeight="1">
      <c r="C735" s="18"/>
      <c r="D735" s="18"/>
      <c r="E735" s="18"/>
    </row>
    <row r="736" spans="3:5" ht="15.75" customHeight="1">
      <c r="C736" s="18"/>
      <c r="D736" s="18"/>
      <c r="E736" s="18"/>
    </row>
    <row r="737" spans="3:5" ht="15.75" customHeight="1">
      <c r="C737" s="18"/>
      <c r="D737" s="18"/>
      <c r="E737" s="18"/>
    </row>
    <row r="738" spans="3:5" ht="15.75" customHeight="1">
      <c r="C738" s="18"/>
      <c r="D738" s="18"/>
      <c r="E738" s="18"/>
    </row>
    <row r="739" spans="3:5" ht="15.75" customHeight="1">
      <c r="C739" s="18"/>
      <c r="D739" s="18"/>
      <c r="E739" s="18"/>
    </row>
    <row r="740" spans="3:5" ht="15.75" customHeight="1">
      <c r="C740" s="18"/>
      <c r="D740" s="18"/>
      <c r="E740" s="18"/>
    </row>
    <row r="741" spans="3:5" ht="15.75" customHeight="1">
      <c r="C741" s="18"/>
      <c r="D741" s="18"/>
      <c r="E741" s="18"/>
    </row>
    <row r="742" spans="3:5" ht="15.75" customHeight="1">
      <c r="C742" s="18"/>
      <c r="D742" s="18"/>
      <c r="E742" s="18"/>
    </row>
    <row r="743" spans="3:5" ht="15.75" customHeight="1">
      <c r="C743" s="18"/>
      <c r="D743" s="18"/>
      <c r="E743" s="18"/>
    </row>
    <row r="744" spans="3:5" ht="15.75" customHeight="1">
      <c r="C744" s="18"/>
      <c r="D744" s="18"/>
      <c r="E744" s="18"/>
    </row>
    <row r="745" spans="3:5" ht="15.75" customHeight="1">
      <c r="C745" s="18"/>
      <c r="D745" s="18"/>
      <c r="E745" s="18"/>
    </row>
    <row r="746" spans="3:5" ht="15.75" customHeight="1">
      <c r="C746" s="18"/>
      <c r="D746" s="18"/>
      <c r="E746" s="18"/>
    </row>
    <row r="747" spans="3:5" ht="15.75" customHeight="1">
      <c r="C747" s="18"/>
      <c r="D747" s="18"/>
      <c r="E747" s="18"/>
    </row>
    <row r="748" spans="3:5" ht="15.75" customHeight="1">
      <c r="C748" s="18"/>
      <c r="D748" s="18"/>
      <c r="E748" s="18"/>
    </row>
    <row r="749" spans="3:5" ht="15.75" customHeight="1">
      <c r="C749" s="18"/>
      <c r="D749" s="18"/>
      <c r="E749" s="18"/>
    </row>
    <row r="750" spans="3:5" ht="15.75" customHeight="1">
      <c r="C750" s="18"/>
      <c r="D750" s="18"/>
      <c r="E750" s="18"/>
    </row>
    <row r="751" spans="3:5" ht="15.75" customHeight="1">
      <c r="C751" s="18"/>
      <c r="D751" s="18"/>
      <c r="E751" s="18"/>
    </row>
    <row r="752" spans="3:5" ht="15.75" customHeight="1">
      <c r="C752" s="18"/>
      <c r="D752" s="18"/>
      <c r="E752" s="18"/>
    </row>
    <row r="753" spans="3:5" ht="15.75" customHeight="1">
      <c r="C753" s="18"/>
      <c r="D753" s="18"/>
      <c r="E753" s="18"/>
    </row>
    <row r="754" spans="3:5" ht="15.75" customHeight="1">
      <c r="C754" s="18"/>
      <c r="D754" s="18"/>
      <c r="E754" s="18"/>
    </row>
    <row r="755" spans="3:5" ht="15.75" customHeight="1">
      <c r="C755" s="18"/>
      <c r="D755" s="18"/>
      <c r="E755" s="18"/>
    </row>
    <row r="756" spans="3:5" ht="15.75" customHeight="1">
      <c r="C756" s="18"/>
      <c r="D756" s="18"/>
      <c r="E756" s="18"/>
    </row>
    <row r="757" spans="3:5" ht="15.75" customHeight="1">
      <c r="C757" s="18"/>
      <c r="D757" s="18"/>
      <c r="E757" s="18"/>
    </row>
    <row r="758" spans="3:5" ht="15.75" customHeight="1">
      <c r="C758" s="18"/>
      <c r="D758" s="18"/>
      <c r="E758" s="18"/>
    </row>
    <row r="759" spans="3:5" ht="15.75" customHeight="1">
      <c r="C759" s="18"/>
      <c r="D759" s="18"/>
      <c r="E759" s="18"/>
    </row>
    <row r="760" spans="3:5" ht="15.75" customHeight="1">
      <c r="C760" s="18"/>
      <c r="D760" s="18"/>
      <c r="E760" s="18"/>
    </row>
    <row r="761" spans="3:5" ht="15.75" customHeight="1">
      <c r="C761" s="18"/>
      <c r="D761" s="18"/>
      <c r="E761" s="18"/>
    </row>
    <row r="762" spans="3:5" ht="15.75" customHeight="1">
      <c r="C762" s="18"/>
      <c r="D762" s="18"/>
      <c r="E762" s="18"/>
    </row>
    <row r="763" spans="3:5" ht="15.75" customHeight="1">
      <c r="C763" s="18"/>
      <c r="D763" s="18"/>
      <c r="E763" s="18"/>
    </row>
    <row r="764" spans="3:5" ht="15.75" customHeight="1">
      <c r="C764" s="18"/>
      <c r="D764" s="18"/>
      <c r="E764" s="18"/>
    </row>
    <row r="765" spans="3:5" ht="15.75" customHeight="1">
      <c r="C765" s="18"/>
      <c r="D765" s="18"/>
      <c r="E765" s="18"/>
    </row>
    <row r="766" spans="3:5" ht="15.75" customHeight="1">
      <c r="C766" s="18"/>
      <c r="D766" s="18"/>
      <c r="E766" s="18"/>
    </row>
    <row r="767" spans="3:5" ht="15.75" customHeight="1">
      <c r="C767" s="18"/>
      <c r="D767" s="18"/>
      <c r="E767" s="18"/>
    </row>
    <row r="768" spans="3:5" ht="15.75" customHeight="1">
      <c r="C768" s="18"/>
      <c r="D768" s="18"/>
      <c r="E768" s="18"/>
    </row>
    <row r="769" spans="3:5" ht="15.75" customHeight="1">
      <c r="C769" s="18"/>
      <c r="D769" s="18"/>
      <c r="E769" s="18"/>
    </row>
    <row r="770" spans="3:5" ht="15.75" customHeight="1">
      <c r="C770" s="18"/>
      <c r="D770" s="18"/>
      <c r="E770" s="18"/>
    </row>
    <row r="771" spans="3:5" ht="15.75" customHeight="1">
      <c r="C771" s="18"/>
      <c r="D771" s="18"/>
      <c r="E771" s="18"/>
    </row>
    <row r="772" spans="3:5" ht="15.75" customHeight="1">
      <c r="C772" s="18"/>
      <c r="D772" s="18"/>
      <c r="E772" s="18"/>
    </row>
    <row r="773" spans="3:5" ht="15.75" customHeight="1">
      <c r="C773" s="18"/>
      <c r="D773" s="18"/>
      <c r="E773" s="18"/>
    </row>
    <row r="774" spans="3:5" ht="15.75" customHeight="1">
      <c r="C774" s="18"/>
      <c r="D774" s="18"/>
      <c r="E774" s="18"/>
    </row>
    <row r="775" spans="3:5" ht="15.75" customHeight="1">
      <c r="C775" s="18"/>
      <c r="D775" s="18"/>
      <c r="E775" s="18"/>
    </row>
    <row r="776" spans="3:5" ht="15.75" customHeight="1">
      <c r="C776" s="18"/>
      <c r="D776" s="18"/>
      <c r="E776" s="18"/>
    </row>
    <row r="777" spans="3:5" ht="15.75" customHeight="1">
      <c r="C777" s="18"/>
      <c r="D777" s="18"/>
      <c r="E777" s="18"/>
    </row>
    <row r="778" spans="3:5" ht="15.75" customHeight="1">
      <c r="C778" s="18"/>
      <c r="D778" s="18"/>
      <c r="E778" s="18"/>
    </row>
    <row r="779" spans="3:5" ht="15.75" customHeight="1">
      <c r="C779" s="18"/>
      <c r="D779" s="18"/>
      <c r="E779" s="18"/>
    </row>
    <row r="780" spans="3:5" ht="15.75" customHeight="1">
      <c r="C780" s="18"/>
      <c r="D780" s="18"/>
      <c r="E780" s="18"/>
    </row>
    <row r="781" spans="3:5" ht="15.75" customHeight="1">
      <c r="C781" s="18"/>
      <c r="D781" s="18"/>
      <c r="E781" s="18"/>
    </row>
    <row r="782" spans="3:5" ht="15.75" customHeight="1">
      <c r="C782" s="18"/>
      <c r="D782" s="18"/>
      <c r="E782" s="18"/>
    </row>
    <row r="783" spans="3:5" ht="15.75" customHeight="1">
      <c r="C783" s="18"/>
      <c r="D783" s="18"/>
      <c r="E783" s="18"/>
    </row>
    <row r="784" spans="3:5" ht="15.75" customHeight="1">
      <c r="C784" s="18"/>
      <c r="D784" s="18"/>
      <c r="E784" s="18"/>
    </row>
    <row r="785" spans="3:5" ht="15.75" customHeight="1">
      <c r="C785" s="18"/>
      <c r="D785" s="18"/>
      <c r="E785" s="18"/>
    </row>
    <row r="786" spans="3:5" ht="15.75" customHeight="1">
      <c r="C786" s="18"/>
      <c r="D786" s="18"/>
      <c r="E786" s="18"/>
    </row>
    <row r="787" spans="3:5" ht="15.75" customHeight="1">
      <c r="C787" s="18"/>
      <c r="D787" s="18"/>
      <c r="E787" s="18"/>
    </row>
    <row r="788" spans="3:5" ht="15.75" customHeight="1">
      <c r="C788" s="18"/>
      <c r="D788" s="18"/>
      <c r="E788" s="18"/>
    </row>
    <row r="789" spans="3:5" ht="15.75" customHeight="1">
      <c r="C789" s="18"/>
      <c r="D789" s="18"/>
      <c r="E789" s="18"/>
    </row>
    <row r="790" spans="3:5" ht="15.75" customHeight="1">
      <c r="C790" s="18"/>
      <c r="D790" s="18"/>
      <c r="E790" s="18"/>
    </row>
    <row r="791" spans="3:5" ht="15.75" customHeight="1">
      <c r="C791" s="18"/>
      <c r="D791" s="18"/>
      <c r="E791" s="18"/>
    </row>
    <row r="792" spans="3:5" ht="15.75" customHeight="1">
      <c r="C792" s="18"/>
      <c r="D792" s="18"/>
      <c r="E792" s="18"/>
    </row>
    <row r="793" spans="3:5" ht="15.75" customHeight="1">
      <c r="C793" s="18"/>
      <c r="D793" s="18"/>
      <c r="E793" s="18"/>
    </row>
    <row r="794" spans="3:5" ht="15.75" customHeight="1">
      <c r="C794" s="18"/>
      <c r="D794" s="18"/>
      <c r="E794" s="18"/>
    </row>
    <row r="795" spans="3:5" ht="15.75" customHeight="1">
      <c r="C795" s="18"/>
      <c r="D795" s="18"/>
      <c r="E795" s="18"/>
    </row>
    <row r="796" spans="3:5" ht="15.75" customHeight="1">
      <c r="C796" s="18"/>
      <c r="D796" s="18"/>
      <c r="E796" s="18"/>
    </row>
    <row r="797" spans="3:5" ht="15.75" customHeight="1">
      <c r="C797" s="18"/>
      <c r="D797" s="18"/>
      <c r="E797" s="18"/>
    </row>
    <row r="798" spans="3:5" ht="15.75" customHeight="1">
      <c r="C798" s="18"/>
      <c r="D798" s="18"/>
      <c r="E798" s="18"/>
    </row>
    <row r="799" spans="3:5" ht="15.75" customHeight="1">
      <c r="C799" s="18"/>
      <c r="D799" s="18"/>
      <c r="E799" s="18"/>
    </row>
    <row r="800" spans="3:5" ht="15.75" customHeight="1">
      <c r="C800" s="18"/>
      <c r="D800" s="18"/>
      <c r="E800" s="18"/>
    </row>
    <row r="801" spans="3:5" ht="15.75" customHeight="1">
      <c r="C801" s="18"/>
      <c r="D801" s="18"/>
      <c r="E801" s="18"/>
    </row>
    <row r="802" spans="3:5" ht="15.75" customHeight="1">
      <c r="C802" s="18"/>
      <c r="D802" s="18"/>
      <c r="E802" s="18"/>
    </row>
    <row r="803" spans="3:5" ht="15.75" customHeight="1">
      <c r="C803" s="18"/>
      <c r="D803" s="18"/>
      <c r="E803" s="18"/>
    </row>
    <row r="804" spans="3:5" ht="15.75" customHeight="1">
      <c r="C804" s="18"/>
      <c r="D804" s="18"/>
      <c r="E804" s="18"/>
    </row>
    <row r="805" spans="3:5" ht="15.75" customHeight="1">
      <c r="C805" s="18"/>
      <c r="D805" s="18"/>
      <c r="E805" s="18"/>
    </row>
    <row r="806" spans="3:5" ht="15.75" customHeight="1">
      <c r="C806" s="18"/>
      <c r="D806" s="18"/>
      <c r="E806" s="18"/>
    </row>
    <row r="807" spans="3:5" ht="15.75" customHeight="1">
      <c r="C807" s="18"/>
      <c r="D807" s="18"/>
      <c r="E807" s="18"/>
    </row>
    <row r="808" spans="3:5" ht="15.75" customHeight="1">
      <c r="C808" s="18"/>
      <c r="D808" s="18"/>
      <c r="E808" s="18"/>
    </row>
    <row r="809" spans="3:5" ht="15.75" customHeight="1">
      <c r="C809" s="18"/>
      <c r="D809" s="18"/>
      <c r="E809" s="18"/>
    </row>
    <row r="810" spans="3:5" ht="15.75" customHeight="1">
      <c r="C810" s="18"/>
      <c r="D810" s="18"/>
      <c r="E810" s="18"/>
    </row>
    <row r="811" spans="3:5" ht="15.75" customHeight="1">
      <c r="C811" s="18"/>
      <c r="D811" s="18"/>
      <c r="E811" s="18"/>
    </row>
    <row r="812" spans="3:5" ht="15.75" customHeight="1">
      <c r="C812" s="18"/>
      <c r="D812" s="18"/>
      <c r="E812" s="18"/>
    </row>
    <row r="813" spans="3:5" ht="15.75" customHeight="1">
      <c r="C813" s="18"/>
      <c r="D813" s="18"/>
      <c r="E813" s="18"/>
    </row>
    <row r="814" spans="3:5" ht="15.75" customHeight="1">
      <c r="C814" s="18"/>
      <c r="D814" s="18"/>
      <c r="E814" s="18"/>
    </row>
    <row r="815" spans="3:5" ht="15.75" customHeight="1">
      <c r="C815" s="18"/>
      <c r="D815" s="18"/>
      <c r="E815" s="18"/>
    </row>
    <row r="816" spans="3:5" ht="15.75" customHeight="1">
      <c r="C816" s="18"/>
      <c r="D816" s="18"/>
      <c r="E816" s="18"/>
    </row>
    <row r="817" spans="3:5" ht="15.75" customHeight="1">
      <c r="C817" s="18"/>
      <c r="D817" s="18"/>
      <c r="E817" s="18"/>
    </row>
    <row r="818" spans="3:5" ht="15.75" customHeight="1">
      <c r="C818" s="18"/>
      <c r="D818" s="18"/>
      <c r="E818" s="18"/>
    </row>
    <row r="819" spans="3:5" ht="15.75" customHeight="1">
      <c r="C819" s="18"/>
      <c r="D819" s="18"/>
      <c r="E819" s="18"/>
    </row>
    <row r="820" spans="3:5" ht="15.75" customHeight="1">
      <c r="C820" s="18"/>
      <c r="D820" s="18"/>
      <c r="E820" s="18"/>
    </row>
    <row r="821" spans="3:5" ht="15.75" customHeight="1">
      <c r="C821" s="18"/>
      <c r="D821" s="18"/>
      <c r="E821" s="18"/>
    </row>
    <row r="822" spans="3:5" ht="15.75" customHeight="1">
      <c r="C822" s="18"/>
      <c r="D822" s="18"/>
      <c r="E822" s="18"/>
    </row>
    <row r="823" spans="3:5" ht="15.75" customHeight="1">
      <c r="C823" s="18"/>
      <c r="D823" s="18"/>
      <c r="E823" s="18"/>
    </row>
    <row r="824" spans="3:5" ht="15.75" customHeight="1">
      <c r="C824" s="18"/>
      <c r="D824" s="18"/>
      <c r="E824" s="18"/>
    </row>
    <row r="825" spans="3:5" ht="15.75" customHeight="1">
      <c r="C825" s="18"/>
      <c r="D825" s="18"/>
      <c r="E825" s="18"/>
    </row>
    <row r="826" spans="3:5" ht="15.75" customHeight="1">
      <c r="C826" s="18"/>
      <c r="D826" s="18"/>
      <c r="E826" s="18"/>
    </row>
    <row r="827" spans="3:5" ht="15.75" customHeight="1">
      <c r="C827" s="18"/>
      <c r="D827" s="18"/>
      <c r="E827" s="18"/>
    </row>
    <row r="828" spans="3:5" ht="15.75" customHeight="1">
      <c r="C828" s="18"/>
      <c r="D828" s="18"/>
      <c r="E828" s="18"/>
    </row>
    <row r="829" spans="3:5" ht="15.75" customHeight="1">
      <c r="C829" s="18"/>
      <c r="D829" s="18"/>
      <c r="E829" s="18"/>
    </row>
    <row r="830" spans="3:5" ht="15.75" customHeight="1">
      <c r="C830" s="18"/>
      <c r="D830" s="18"/>
      <c r="E830" s="18"/>
    </row>
    <row r="831" spans="3:5" ht="15.75" customHeight="1">
      <c r="C831" s="18"/>
      <c r="D831" s="18"/>
      <c r="E831" s="18"/>
    </row>
    <row r="832" spans="3:5" ht="15.75" customHeight="1">
      <c r="C832" s="18"/>
      <c r="D832" s="18"/>
      <c r="E832" s="18"/>
    </row>
    <row r="833" spans="3:5" ht="15.75" customHeight="1">
      <c r="C833" s="18"/>
      <c r="D833" s="18"/>
      <c r="E833" s="18"/>
    </row>
    <row r="834" spans="3:5" ht="15.75" customHeight="1">
      <c r="C834" s="18"/>
      <c r="D834" s="18"/>
      <c r="E834" s="18"/>
    </row>
    <row r="835" spans="3:5" ht="15.75" customHeight="1">
      <c r="C835" s="18"/>
      <c r="D835" s="18"/>
      <c r="E835" s="18"/>
    </row>
    <row r="836" spans="3:5" ht="15.75" customHeight="1">
      <c r="C836" s="18"/>
      <c r="D836" s="18"/>
      <c r="E836" s="18"/>
    </row>
    <row r="837" spans="3:5" ht="15.75" customHeight="1">
      <c r="C837" s="18"/>
      <c r="D837" s="18"/>
      <c r="E837" s="18"/>
    </row>
    <row r="838" spans="3:5" ht="15.75" customHeight="1">
      <c r="C838" s="18"/>
      <c r="D838" s="18"/>
      <c r="E838" s="18"/>
    </row>
    <row r="839" spans="3:5" ht="15.75" customHeight="1">
      <c r="C839" s="18"/>
      <c r="D839" s="18"/>
      <c r="E839" s="18"/>
    </row>
    <row r="840" spans="3:5" ht="15.75" customHeight="1">
      <c r="C840" s="18"/>
      <c r="D840" s="18"/>
      <c r="E840" s="18"/>
    </row>
    <row r="841" spans="3:5" ht="15.75" customHeight="1">
      <c r="C841" s="18"/>
      <c r="D841" s="18"/>
      <c r="E841" s="18"/>
    </row>
    <row r="842" spans="3:5" ht="15.75" customHeight="1">
      <c r="C842" s="18"/>
      <c r="D842" s="18"/>
      <c r="E842" s="18"/>
    </row>
    <row r="843" spans="3:5" ht="15.75" customHeight="1">
      <c r="C843" s="18"/>
      <c r="D843" s="18"/>
      <c r="E843" s="18"/>
    </row>
    <row r="844" spans="3:5" ht="15.75" customHeight="1">
      <c r="C844" s="18"/>
      <c r="D844" s="18"/>
      <c r="E844" s="18"/>
    </row>
    <row r="845" spans="3:5" ht="15.75" customHeight="1">
      <c r="C845" s="18"/>
      <c r="D845" s="18"/>
      <c r="E845" s="18"/>
    </row>
    <row r="846" spans="3:5" ht="15.75" customHeight="1">
      <c r="C846" s="18"/>
      <c r="D846" s="18"/>
      <c r="E846" s="18"/>
    </row>
    <row r="847" spans="3:5" ht="15.75" customHeight="1">
      <c r="C847" s="18"/>
      <c r="D847" s="18"/>
      <c r="E847" s="18"/>
    </row>
    <row r="848" spans="3:5" ht="15.75" customHeight="1">
      <c r="C848" s="18"/>
      <c r="D848" s="18"/>
      <c r="E848" s="18"/>
    </row>
    <row r="849" spans="3:5" ht="15.75" customHeight="1">
      <c r="C849" s="18"/>
      <c r="D849" s="18"/>
      <c r="E849" s="18"/>
    </row>
    <row r="850" spans="3:5" ht="15.75" customHeight="1">
      <c r="C850" s="18"/>
      <c r="D850" s="18"/>
      <c r="E850" s="18"/>
    </row>
    <row r="851" spans="3:5" ht="15.75" customHeight="1">
      <c r="C851" s="18"/>
      <c r="D851" s="18"/>
      <c r="E851" s="18"/>
    </row>
    <row r="852" spans="3:5" ht="15.75" customHeight="1">
      <c r="C852" s="18"/>
      <c r="D852" s="18"/>
      <c r="E852" s="18"/>
    </row>
    <row r="853" spans="3:5" ht="15.75" customHeight="1">
      <c r="C853" s="18"/>
      <c r="D853" s="18"/>
      <c r="E853" s="18"/>
    </row>
    <row r="854" spans="3:5" ht="15.75" customHeight="1">
      <c r="C854" s="18"/>
      <c r="D854" s="18"/>
      <c r="E854" s="18"/>
    </row>
    <row r="855" spans="3:5" ht="15.75" customHeight="1">
      <c r="C855" s="18"/>
      <c r="D855" s="18"/>
      <c r="E855" s="18"/>
    </row>
    <row r="856" spans="3:5" ht="15.75" customHeight="1">
      <c r="C856" s="18"/>
      <c r="D856" s="18"/>
      <c r="E856" s="18"/>
    </row>
    <row r="857" spans="3:5" ht="15.75" customHeight="1">
      <c r="C857" s="18"/>
      <c r="D857" s="18"/>
      <c r="E857" s="18"/>
    </row>
    <row r="858" spans="3:5" ht="15.75" customHeight="1">
      <c r="C858" s="18"/>
      <c r="D858" s="18"/>
      <c r="E858" s="18"/>
    </row>
    <row r="859" spans="3:5" ht="15.75" customHeight="1">
      <c r="C859" s="18"/>
      <c r="D859" s="18"/>
      <c r="E859" s="18"/>
    </row>
    <row r="860" spans="3:5" ht="15.75" customHeight="1">
      <c r="C860" s="18"/>
      <c r="D860" s="18"/>
      <c r="E860" s="18"/>
    </row>
    <row r="861" spans="3:5" ht="15.75" customHeight="1">
      <c r="C861" s="18"/>
      <c r="D861" s="18"/>
      <c r="E861" s="18"/>
    </row>
    <row r="862" spans="3:5" ht="15.75" customHeight="1">
      <c r="C862" s="18"/>
      <c r="D862" s="18"/>
      <c r="E862" s="18"/>
    </row>
    <row r="863" spans="3:5" ht="15.75" customHeight="1">
      <c r="C863" s="18"/>
      <c r="D863" s="18"/>
      <c r="E863" s="18"/>
    </row>
    <row r="864" spans="3:5" ht="15.75" customHeight="1">
      <c r="C864" s="18"/>
      <c r="D864" s="18"/>
      <c r="E864" s="18"/>
    </row>
    <row r="865" spans="3:5" ht="15.75" customHeight="1">
      <c r="C865" s="18"/>
      <c r="D865" s="18"/>
      <c r="E865" s="18"/>
    </row>
    <row r="866" spans="3:5" ht="15.75" customHeight="1">
      <c r="C866" s="18"/>
      <c r="D866" s="18"/>
      <c r="E866" s="18"/>
    </row>
    <row r="867" spans="3:5" ht="15.75" customHeight="1">
      <c r="C867" s="18"/>
      <c r="D867" s="18"/>
      <c r="E867" s="18"/>
    </row>
    <row r="868" spans="3:5" ht="15.75" customHeight="1">
      <c r="C868" s="18"/>
      <c r="D868" s="18"/>
      <c r="E868" s="18"/>
    </row>
    <row r="869" spans="3:5" ht="15.75" customHeight="1">
      <c r="C869" s="18"/>
      <c r="D869" s="18"/>
      <c r="E869" s="18"/>
    </row>
    <row r="870" spans="3:5" ht="15.75" customHeight="1">
      <c r="C870" s="18"/>
      <c r="D870" s="18"/>
      <c r="E870" s="18"/>
    </row>
    <row r="871" spans="3:5" ht="15.75" customHeight="1">
      <c r="C871" s="18"/>
      <c r="D871" s="18"/>
      <c r="E871" s="18"/>
    </row>
    <row r="872" spans="3:5" ht="15.75" customHeight="1">
      <c r="C872" s="18"/>
      <c r="D872" s="18"/>
      <c r="E872" s="18"/>
    </row>
    <row r="873" spans="3:5" ht="15.75" customHeight="1">
      <c r="C873" s="18"/>
      <c r="D873" s="18"/>
      <c r="E873" s="18"/>
    </row>
    <row r="874" spans="3:5" ht="15.75" customHeight="1">
      <c r="C874" s="18"/>
      <c r="D874" s="18"/>
      <c r="E874" s="18"/>
    </row>
    <row r="875" spans="3:5" ht="15.75" customHeight="1">
      <c r="C875" s="18"/>
      <c r="D875" s="18"/>
      <c r="E875" s="18"/>
    </row>
    <row r="876" spans="3:5" ht="15.75" customHeight="1">
      <c r="C876" s="18"/>
      <c r="D876" s="18"/>
      <c r="E876" s="18"/>
    </row>
    <row r="877" spans="3:5" ht="15.75" customHeight="1">
      <c r="C877" s="18"/>
      <c r="D877" s="18"/>
      <c r="E877" s="18"/>
    </row>
    <row r="878" spans="3:5" ht="15.75" customHeight="1">
      <c r="C878" s="18"/>
      <c r="D878" s="18"/>
      <c r="E878" s="18"/>
    </row>
    <row r="879" spans="3:5" ht="15.75" customHeight="1">
      <c r="C879" s="18"/>
      <c r="D879" s="18"/>
      <c r="E879" s="18"/>
    </row>
    <row r="880" spans="3:5" ht="15.75" customHeight="1">
      <c r="C880" s="18"/>
      <c r="D880" s="18"/>
      <c r="E880" s="18"/>
    </row>
    <row r="881" spans="3:5" ht="15.75" customHeight="1">
      <c r="C881" s="18"/>
      <c r="D881" s="18"/>
      <c r="E881" s="18"/>
    </row>
    <row r="882" spans="3:5" ht="15.75" customHeight="1">
      <c r="C882" s="18"/>
      <c r="D882" s="18"/>
      <c r="E882" s="18"/>
    </row>
    <row r="883" spans="3:5" ht="15.75" customHeight="1">
      <c r="C883" s="18"/>
      <c r="D883" s="18"/>
      <c r="E883" s="18"/>
    </row>
    <row r="884" spans="3:5" ht="15.75" customHeight="1">
      <c r="C884" s="18"/>
      <c r="D884" s="18"/>
      <c r="E884" s="18"/>
    </row>
    <row r="885" spans="3:5" ht="15.75" customHeight="1">
      <c r="C885" s="18"/>
      <c r="D885" s="18"/>
      <c r="E885" s="18"/>
    </row>
    <row r="886" spans="3:5" ht="15.75" customHeight="1">
      <c r="C886" s="18"/>
      <c r="D886" s="18"/>
      <c r="E886" s="18"/>
    </row>
    <row r="887" spans="3:5" ht="15.75" customHeight="1">
      <c r="C887" s="18"/>
      <c r="D887" s="18"/>
      <c r="E887" s="18"/>
    </row>
    <row r="888" spans="3:5" ht="15.75" customHeight="1">
      <c r="C888" s="18"/>
      <c r="D888" s="18"/>
      <c r="E888" s="18"/>
    </row>
    <row r="889" spans="3:5" ht="15.75" customHeight="1">
      <c r="C889" s="18"/>
      <c r="D889" s="18"/>
      <c r="E889" s="18"/>
    </row>
    <row r="890" spans="3:5" ht="15.75" customHeight="1">
      <c r="C890" s="18"/>
      <c r="D890" s="18"/>
      <c r="E890" s="18"/>
    </row>
    <row r="891" spans="3:5" ht="15.75" customHeight="1">
      <c r="C891" s="18"/>
      <c r="D891" s="18"/>
      <c r="E891" s="18"/>
    </row>
    <row r="892" spans="3:5" ht="15.75" customHeight="1">
      <c r="C892" s="18"/>
      <c r="D892" s="18"/>
      <c r="E892" s="18"/>
    </row>
    <row r="893" spans="3:5" ht="15.75" customHeight="1">
      <c r="C893" s="18"/>
      <c r="D893" s="18"/>
      <c r="E893" s="18"/>
    </row>
    <row r="894" spans="3:5" ht="15.75" customHeight="1">
      <c r="C894" s="18"/>
      <c r="D894" s="18"/>
      <c r="E894" s="18"/>
    </row>
    <row r="895" spans="3:5" ht="15.75" customHeight="1">
      <c r="C895" s="18"/>
      <c r="D895" s="18"/>
      <c r="E895" s="18"/>
    </row>
    <row r="896" spans="3:5" ht="15.75" customHeight="1">
      <c r="C896" s="18"/>
      <c r="D896" s="18"/>
      <c r="E896" s="18"/>
    </row>
    <row r="897" spans="3:5" ht="15.75" customHeight="1">
      <c r="C897" s="18"/>
      <c r="D897" s="18"/>
      <c r="E897" s="18"/>
    </row>
    <row r="898" spans="3:5" ht="15.75" customHeight="1">
      <c r="C898" s="18"/>
      <c r="D898" s="18"/>
      <c r="E898" s="18"/>
    </row>
    <row r="899" spans="3:5" ht="15.75" customHeight="1">
      <c r="C899" s="18"/>
      <c r="D899" s="18"/>
      <c r="E899" s="18"/>
    </row>
    <row r="900" spans="3:5" ht="15.75" customHeight="1">
      <c r="C900" s="18"/>
      <c r="D900" s="18"/>
      <c r="E900" s="18"/>
    </row>
    <row r="901" spans="3:5" ht="15.75" customHeight="1">
      <c r="C901" s="18"/>
      <c r="D901" s="18"/>
      <c r="E901" s="18"/>
    </row>
    <row r="902" spans="3:5" ht="15.75" customHeight="1">
      <c r="C902" s="18"/>
      <c r="D902" s="18"/>
      <c r="E902" s="18"/>
    </row>
    <row r="903" spans="3:5" ht="15.75" customHeight="1">
      <c r="C903" s="18"/>
      <c r="D903" s="18"/>
      <c r="E903" s="18"/>
    </row>
    <row r="904" spans="3:5" ht="15.75" customHeight="1">
      <c r="C904" s="18"/>
      <c r="D904" s="18"/>
      <c r="E904" s="18"/>
    </row>
    <row r="905" spans="3:5" ht="15.75" customHeight="1">
      <c r="C905" s="18"/>
      <c r="D905" s="18"/>
      <c r="E905" s="18"/>
    </row>
    <row r="906" spans="3:5" ht="15.75" customHeight="1">
      <c r="C906" s="18"/>
      <c r="D906" s="18"/>
      <c r="E906" s="18"/>
    </row>
    <row r="907" spans="3:5" ht="15.75" customHeight="1">
      <c r="C907" s="18"/>
      <c r="D907" s="18"/>
      <c r="E907" s="18"/>
    </row>
    <row r="908" spans="3:5" ht="15.75" customHeight="1">
      <c r="C908" s="18"/>
      <c r="D908" s="18"/>
      <c r="E908" s="18"/>
    </row>
    <row r="909" spans="3:5" ht="15.75" customHeight="1">
      <c r="C909" s="18"/>
      <c r="D909" s="18"/>
      <c r="E909" s="18"/>
    </row>
    <row r="910" spans="3:5" ht="15.75" customHeight="1">
      <c r="C910" s="18"/>
      <c r="D910" s="18"/>
      <c r="E910" s="18"/>
    </row>
    <row r="911" spans="3:5" ht="15.75" customHeight="1">
      <c r="C911" s="18"/>
      <c r="D911" s="18"/>
      <c r="E911" s="18"/>
    </row>
    <row r="912" spans="3:5" ht="15.75" customHeight="1">
      <c r="C912" s="18"/>
      <c r="D912" s="18"/>
      <c r="E912" s="18"/>
    </row>
    <row r="913" spans="3:5" ht="15.75" customHeight="1">
      <c r="C913" s="18"/>
      <c r="D913" s="18"/>
      <c r="E913" s="18"/>
    </row>
    <row r="914" spans="3:5" ht="15.75" customHeight="1">
      <c r="C914" s="18"/>
      <c r="D914" s="18"/>
      <c r="E914" s="18"/>
    </row>
    <row r="915" spans="3:5" ht="15.75" customHeight="1">
      <c r="C915" s="18"/>
      <c r="D915" s="18"/>
      <c r="E915" s="18"/>
    </row>
    <row r="916" spans="3:5" ht="15.75" customHeight="1">
      <c r="C916" s="18"/>
      <c r="D916" s="18"/>
      <c r="E916" s="18"/>
    </row>
    <row r="917" spans="3:5" ht="15.75" customHeight="1">
      <c r="C917" s="18"/>
      <c r="D917" s="18"/>
      <c r="E917" s="18"/>
    </row>
    <row r="918" spans="3:5" ht="15.75" customHeight="1">
      <c r="C918" s="18"/>
      <c r="D918" s="18"/>
      <c r="E918" s="18"/>
    </row>
    <row r="919" spans="3:5" ht="15.75" customHeight="1">
      <c r="C919" s="18"/>
      <c r="D919" s="18"/>
      <c r="E919" s="18"/>
    </row>
    <row r="920" spans="3:5" ht="15.75" customHeight="1">
      <c r="C920" s="18"/>
      <c r="D920" s="18"/>
      <c r="E920" s="18"/>
    </row>
    <row r="921" spans="3:5" ht="15.75" customHeight="1">
      <c r="C921" s="18"/>
      <c r="D921" s="18"/>
      <c r="E921" s="18"/>
    </row>
    <row r="922" spans="3:5" ht="15.75" customHeight="1">
      <c r="C922" s="18"/>
      <c r="D922" s="18"/>
      <c r="E922" s="18"/>
    </row>
    <row r="923" spans="3:5" ht="15.75" customHeight="1">
      <c r="C923" s="18"/>
      <c r="D923" s="18"/>
      <c r="E923" s="18"/>
    </row>
    <row r="924" spans="3:5" ht="15.75" customHeight="1">
      <c r="C924" s="18"/>
      <c r="D924" s="18"/>
      <c r="E924" s="18"/>
    </row>
    <row r="925" spans="3:5" ht="15.75" customHeight="1">
      <c r="C925" s="18"/>
      <c r="D925" s="18"/>
      <c r="E925" s="18"/>
    </row>
    <row r="926" spans="3:5" ht="15.75" customHeight="1">
      <c r="C926" s="18"/>
      <c r="D926" s="18"/>
      <c r="E926" s="18"/>
    </row>
    <row r="927" spans="3:5" ht="15.75" customHeight="1">
      <c r="C927" s="18"/>
      <c r="D927" s="18"/>
      <c r="E927" s="18"/>
    </row>
    <row r="928" spans="3:5" ht="15.75" customHeight="1">
      <c r="C928" s="18"/>
      <c r="D928" s="18"/>
      <c r="E928" s="18"/>
    </row>
    <row r="929" spans="3:5" ht="15.75" customHeight="1">
      <c r="C929" s="18"/>
      <c r="D929" s="18"/>
      <c r="E929" s="18"/>
    </row>
    <row r="930" spans="3:5" ht="15.75" customHeight="1">
      <c r="C930" s="18"/>
      <c r="D930" s="18"/>
      <c r="E930" s="18"/>
    </row>
    <row r="931" spans="3:5" ht="15.75" customHeight="1">
      <c r="C931" s="18"/>
      <c r="D931" s="18"/>
      <c r="E931" s="18"/>
    </row>
    <row r="932" spans="3:5" ht="15.75" customHeight="1">
      <c r="C932" s="18"/>
      <c r="D932" s="18"/>
      <c r="E932" s="18"/>
    </row>
    <row r="933" spans="3:5" ht="15.75" customHeight="1">
      <c r="C933" s="18"/>
      <c r="D933" s="18"/>
      <c r="E933" s="18"/>
    </row>
    <row r="934" spans="3:5" ht="15.75" customHeight="1">
      <c r="C934" s="18"/>
      <c r="D934" s="18"/>
      <c r="E934" s="18"/>
    </row>
    <row r="935" spans="3:5" ht="15.75" customHeight="1">
      <c r="C935" s="18"/>
      <c r="D935" s="18"/>
      <c r="E935" s="18"/>
    </row>
    <row r="936" spans="3:5" ht="15.75" customHeight="1">
      <c r="C936" s="18"/>
      <c r="D936" s="18"/>
      <c r="E936" s="18"/>
    </row>
    <row r="937" spans="3:5" ht="15.75" customHeight="1">
      <c r="C937" s="18"/>
      <c r="D937" s="18"/>
      <c r="E937" s="18"/>
    </row>
    <row r="938" spans="3:5" ht="15.75" customHeight="1">
      <c r="C938" s="18"/>
      <c r="D938" s="18"/>
      <c r="E938" s="18"/>
    </row>
    <row r="939" spans="3:5" ht="15.75" customHeight="1">
      <c r="C939" s="18"/>
      <c r="D939" s="18"/>
      <c r="E939" s="18"/>
    </row>
    <row r="940" spans="3:5" ht="15.75" customHeight="1">
      <c r="C940" s="18"/>
      <c r="D940" s="18"/>
      <c r="E940" s="18"/>
    </row>
    <row r="941" spans="3:5" ht="15.75" customHeight="1">
      <c r="C941" s="18"/>
      <c r="D941" s="18"/>
      <c r="E941" s="18"/>
    </row>
    <row r="942" spans="3:5" ht="15.75" customHeight="1">
      <c r="C942" s="18"/>
      <c r="D942" s="18"/>
      <c r="E942" s="18"/>
    </row>
    <row r="943" spans="3:5" ht="15.75" customHeight="1">
      <c r="C943" s="18"/>
      <c r="D943" s="18"/>
      <c r="E943" s="18"/>
    </row>
    <row r="944" spans="3:5" ht="15.75" customHeight="1">
      <c r="C944" s="18"/>
      <c r="D944" s="18"/>
      <c r="E944" s="18"/>
    </row>
    <row r="945" spans="3:5" ht="15.75" customHeight="1">
      <c r="C945" s="18"/>
      <c r="D945" s="18"/>
      <c r="E945" s="18"/>
    </row>
    <row r="946" spans="3:5" ht="15.75" customHeight="1">
      <c r="C946" s="18"/>
      <c r="D946" s="18"/>
      <c r="E946" s="18"/>
    </row>
    <row r="947" spans="3:5" ht="15.75" customHeight="1">
      <c r="C947" s="18"/>
      <c r="D947" s="18"/>
      <c r="E947" s="18"/>
    </row>
    <row r="948" spans="3:5" ht="15.75" customHeight="1">
      <c r="C948" s="18"/>
      <c r="D948" s="18"/>
      <c r="E948" s="18"/>
    </row>
    <row r="949" spans="3:5" ht="15.75" customHeight="1">
      <c r="C949" s="18"/>
      <c r="D949" s="18"/>
      <c r="E949" s="18"/>
    </row>
    <row r="950" spans="3:5" ht="15.75" customHeight="1">
      <c r="C950" s="18"/>
      <c r="D950" s="18"/>
      <c r="E950" s="18"/>
    </row>
    <row r="951" spans="3:5" ht="15.75" customHeight="1">
      <c r="C951" s="18"/>
      <c r="D951" s="18"/>
      <c r="E951" s="18"/>
    </row>
    <row r="952" spans="3:5" ht="15.75" customHeight="1">
      <c r="C952" s="18"/>
      <c r="D952" s="18"/>
      <c r="E952" s="18"/>
    </row>
    <row r="953" spans="3:5" ht="15.75" customHeight="1">
      <c r="C953" s="18"/>
      <c r="D953" s="18"/>
      <c r="E953" s="18"/>
    </row>
    <row r="954" spans="3:5" ht="15.75" customHeight="1">
      <c r="C954" s="18"/>
      <c r="D954" s="18"/>
      <c r="E954" s="18"/>
    </row>
    <row r="955" spans="3:5" ht="15.75" customHeight="1">
      <c r="C955" s="18"/>
      <c r="D955" s="18"/>
      <c r="E955" s="18"/>
    </row>
    <row r="956" spans="3:5" ht="15.75" customHeight="1">
      <c r="C956" s="18"/>
      <c r="D956" s="18"/>
      <c r="E956" s="18"/>
    </row>
    <row r="957" spans="3:5" ht="15.75" customHeight="1">
      <c r="C957" s="18"/>
      <c r="D957" s="18"/>
      <c r="E957" s="18"/>
    </row>
    <row r="958" spans="3:5" ht="15.75" customHeight="1">
      <c r="C958" s="18"/>
      <c r="D958" s="18"/>
      <c r="E958" s="18"/>
    </row>
    <row r="959" spans="3:5" ht="15.75" customHeight="1">
      <c r="C959" s="18"/>
      <c r="D959" s="18"/>
      <c r="E959" s="18"/>
    </row>
    <row r="960" spans="3:5" ht="15.75" customHeight="1">
      <c r="C960" s="18"/>
      <c r="D960" s="18"/>
      <c r="E960" s="18"/>
    </row>
    <row r="961" spans="3:5" ht="15.75" customHeight="1">
      <c r="C961" s="18"/>
      <c r="D961" s="18"/>
      <c r="E961" s="18"/>
    </row>
    <row r="962" spans="3:5" ht="15.75" customHeight="1">
      <c r="C962" s="18"/>
      <c r="D962" s="18"/>
      <c r="E962" s="18"/>
    </row>
    <row r="963" spans="3:5" ht="15.75" customHeight="1">
      <c r="C963" s="18"/>
      <c r="D963" s="18"/>
      <c r="E963" s="18"/>
    </row>
    <row r="964" spans="3:5" ht="15.75" customHeight="1">
      <c r="C964" s="18"/>
      <c r="D964" s="18"/>
      <c r="E964" s="18"/>
    </row>
    <row r="965" spans="3:5" ht="15.75" customHeight="1">
      <c r="C965" s="18"/>
      <c r="D965" s="18"/>
      <c r="E965" s="18"/>
    </row>
    <row r="966" spans="3:5" ht="15.75" customHeight="1">
      <c r="C966" s="18"/>
      <c r="D966" s="18"/>
      <c r="E966" s="18"/>
    </row>
    <row r="967" spans="3:5" ht="15.75" customHeight="1">
      <c r="C967" s="18"/>
      <c r="D967" s="18"/>
      <c r="E967" s="18"/>
    </row>
    <row r="968" spans="3:5" ht="15.75" customHeight="1">
      <c r="C968" s="18"/>
      <c r="D968" s="18"/>
      <c r="E968" s="18"/>
    </row>
    <row r="969" spans="3:5" ht="15.75" customHeight="1">
      <c r="C969" s="18"/>
      <c r="D969" s="18"/>
      <c r="E969" s="18"/>
    </row>
    <row r="970" spans="3:5" ht="15.75" customHeight="1">
      <c r="C970" s="18"/>
      <c r="D970" s="18"/>
      <c r="E970" s="18"/>
    </row>
    <row r="971" spans="3:5" ht="15.75" customHeight="1">
      <c r="C971" s="18"/>
      <c r="D971" s="18"/>
      <c r="E971" s="18"/>
    </row>
    <row r="972" spans="3:5" ht="15.75" customHeight="1">
      <c r="C972" s="18"/>
      <c r="D972" s="18"/>
      <c r="E972" s="18"/>
    </row>
    <row r="973" spans="3:5" ht="15.75" customHeight="1">
      <c r="C973" s="18"/>
      <c r="D973" s="18"/>
      <c r="E973" s="18"/>
    </row>
    <row r="974" spans="3:5" ht="15.75" customHeight="1">
      <c r="C974" s="18"/>
      <c r="D974" s="18"/>
      <c r="E974" s="18"/>
    </row>
    <row r="975" spans="3:5" ht="15.75" customHeight="1">
      <c r="C975" s="18"/>
      <c r="D975" s="18"/>
      <c r="E975" s="18"/>
    </row>
    <row r="976" spans="3:5" ht="15.75" customHeight="1">
      <c r="C976" s="18"/>
      <c r="D976" s="18"/>
      <c r="E976" s="18"/>
    </row>
    <row r="977" spans="3:5" ht="15.75" customHeight="1">
      <c r="C977" s="18"/>
      <c r="D977" s="18"/>
      <c r="E977" s="18"/>
    </row>
    <row r="978" spans="3:5" ht="15.75" customHeight="1">
      <c r="C978" s="18"/>
      <c r="D978" s="18"/>
      <c r="E978" s="18"/>
    </row>
    <row r="979" spans="3:5" ht="15.75" customHeight="1">
      <c r="C979" s="18"/>
      <c r="D979" s="18"/>
      <c r="E979" s="18"/>
    </row>
    <row r="980" spans="3:5" ht="15.75" customHeight="1">
      <c r="C980" s="18"/>
      <c r="D980" s="18"/>
      <c r="E980" s="18"/>
    </row>
    <row r="981" spans="3:5" ht="15.75" customHeight="1">
      <c r="C981" s="18"/>
      <c r="D981" s="18"/>
      <c r="E981" s="18"/>
    </row>
    <row r="982" spans="3:5" ht="15.75" customHeight="1">
      <c r="C982" s="18"/>
      <c r="D982" s="18"/>
      <c r="E982" s="18"/>
    </row>
    <row r="983" spans="3:5" ht="15.75" customHeight="1">
      <c r="C983" s="18"/>
      <c r="D983" s="18"/>
      <c r="E983" s="18"/>
    </row>
    <row r="984" spans="3:5" ht="15.75" customHeight="1">
      <c r="C984" s="18"/>
      <c r="D984" s="18"/>
      <c r="E984" s="18"/>
    </row>
    <row r="985" spans="3:5" ht="15.75" customHeight="1">
      <c r="C985" s="18"/>
      <c r="D985" s="18"/>
      <c r="E985" s="18"/>
    </row>
    <row r="986" spans="3:5" ht="15.75" customHeight="1">
      <c r="C986" s="18"/>
      <c r="D986" s="18"/>
      <c r="E986" s="18"/>
    </row>
    <row r="987" spans="3:5" ht="15.75" customHeight="1">
      <c r="C987" s="18"/>
      <c r="D987" s="18"/>
      <c r="E987" s="18"/>
    </row>
    <row r="988" spans="3:5" ht="15.75" customHeight="1">
      <c r="C988" s="18"/>
      <c r="D988" s="18"/>
      <c r="E988" s="18"/>
    </row>
    <row r="989" spans="3:5" ht="15.75" customHeight="1">
      <c r="C989" s="18"/>
      <c r="D989" s="18"/>
      <c r="E989" s="18"/>
    </row>
    <row r="990" spans="3:5" ht="15.75" customHeight="1">
      <c r="C990" s="18"/>
      <c r="D990" s="18"/>
      <c r="E990" s="18"/>
    </row>
    <row r="991" spans="3:5" ht="15.75" customHeight="1">
      <c r="C991" s="18"/>
      <c r="D991" s="18"/>
      <c r="E991" s="18"/>
    </row>
    <row r="992" spans="3:5" ht="15.75" customHeight="1">
      <c r="C992" s="18"/>
      <c r="D992" s="18"/>
      <c r="E992" s="18"/>
    </row>
    <row r="993" spans="3:5" ht="15.75" customHeight="1">
      <c r="C993" s="18"/>
      <c r="D993" s="18"/>
      <c r="E993" s="18"/>
    </row>
    <row r="994" spans="3:5" ht="15.75" customHeight="1">
      <c r="C994" s="18"/>
      <c r="D994" s="18"/>
      <c r="E994" s="18"/>
    </row>
    <row r="995" spans="3:5" ht="15.75" customHeight="1">
      <c r="C995" s="18"/>
      <c r="D995" s="18"/>
      <c r="E995" s="18"/>
    </row>
    <row r="996" spans="3:5" ht="15.75" customHeight="1">
      <c r="C996" s="18"/>
      <c r="D996" s="18"/>
      <c r="E996" s="18"/>
    </row>
    <row r="997" spans="3:5" ht="15.75" customHeight="1">
      <c r="C997" s="18"/>
      <c r="D997" s="18"/>
      <c r="E997" s="18"/>
    </row>
    <row r="998" spans="3:5" ht="15.75" customHeight="1">
      <c r="C998" s="18"/>
      <c r="D998" s="18"/>
      <c r="E998" s="18"/>
    </row>
    <row r="999" spans="3:5" ht="15.75" customHeight="1">
      <c r="C999" s="18"/>
      <c r="D999" s="18"/>
      <c r="E999" s="18"/>
    </row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  <outlinePr summaryBelow="0" summaryRight="0"/>
  </sheetPr>
  <dimension ref="A1:AA1001"/>
  <sheetViews>
    <sheetView workbookViewId="0"/>
  </sheetViews>
  <sheetFormatPr defaultColWidth="14.453125" defaultRowHeight="15" customHeight="1"/>
  <cols>
    <col min="1" max="1" width="4.08984375" customWidth="1"/>
    <col min="2" max="2" width="75" customWidth="1"/>
    <col min="3" max="3" width="44.26953125" customWidth="1"/>
    <col min="4" max="4" width="49" customWidth="1"/>
    <col min="5" max="5" width="17.7265625" customWidth="1"/>
    <col min="6" max="7" width="8.7265625" customWidth="1"/>
  </cols>
  <sheetData>
    <row r="1" spans="1:27" ht="18.75" customHeight="1">
      <c r="A1" s="1" t="s">
        <v>0</v>
      </c>
      <c r="B1" s="1" t="s">
        <v>1</v>
      </c>
      <c r="C1" s="2" t="s">
        <v>2</v>
      </c>
      <c r="D1" s="1" t="s">
        <v>27</v>
      </c>
      <c r="E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7" ht="16.5" customHeight="1">
      <c r="A2" s="4">
        <v>1</v>
      </c>
      <c r="B2" s="19" t="s">
        <v>28</v>
      </c>
      <c r="C2" s="20" t="s">
        <v>29</v>
      </c>
      <c r="D2" s="21"/>
      <c r="E2" s="7" t="s">
        <v>30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7" ht="14.25" customHeight="1">
      <c r="A3" s="8">
        <v>2</v>
      </c>
      <c r="B3" s="20" t="s">
        <v>31</v>
      </c>
      <c r="C3" s="20" t="s">
        <v>32</v>
      </c>
      <c r="D3" s="22"/>
      <c r="E3" s="7" t="s">
        <v>30</v>
      </c>
      <c r="F3" s="3"/>
      <c r="G3" s="3"/>
    </row>
    <row r="4" spans="1:27" ht="15.5">
      <c r="A4" s="8">
        <v>3</v>
      </c>
      <c r="B4" s="23" t="s">
        <v>33</v>
      </c>
      <c r="C4" s="23" t="s">
        <v>34</v>
      </c>
      <c r="D4" s="24"/>
      <c r="E4" s="7" t="s">
        <v>30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7" ht="14.25" customHeight="1">
      <c r="A6" s="3"/>
      <c r="B6" s="3"/>
      <c r="C6" s="3"/>
      <c r="D6" s="25" t="s">
        <v>35</v>
      </c>
      <c r="E6" s="2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7" ht="14.25" customHeight="1">
      <c r="A7" s="3"/>
      <c r="B7" s="3"/>
      <c r="C7" s="3"/>
      <c r="D7" s="27" t="s">
        <v>36</v>
      </c>
      <c r="E7" s="27" t="e">
        <f>COUNTIF(#REF!, "C")</f>
        <v>#REF!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7" ht="14.25" customHeight="1">
      <c r="A8" s="3"/>
      <c r="B8" s="3"/>
      <c r="C8" s="3"/>
      <c r="D8" s="27" t="s">
        <v>37</v>
      </c>
      <c r="E8" s="27" t="e">
        <f>COUNTIF(#REF!, "H")</f>
        <v>#REF!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7" ht="14.25" customHeight="1">
      <c r="A9" s="3"/>
      <c r="B9" s="3"/>
      <c r="C9" s="3"/>
      <c r="D9" s="27" t="s">
        <v>38</v>
      </c>
      <c r="E9" s="27" t="e">
        <f>COUNTIF(#REF!, "M")</f>
        <v>#REF!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7" ht="14.25" customHeight="1">
      <c r="A10" s="3"/>
      <c r="B10" s="3"/>
      <c r="C10" s="3"/>
      <c r="D10" s="27" t="s">
        <v>39</v>
      </c>
      <c r="E10" s="27">
        <f>COUNTIF(E2:E4, "Coord")</f>
        <v>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7" ht="14.25" customHeight="1">
      <c r="A11" s="3"/>
      <c r="B11" s="3"/>
      <c r="C11" s="3"/>
      <c r="D11" s="27" t="s">
        <v>40</v>
      </c>
      <c r="E11" s="27" t="e">
        <f>SUM(E7:E10)</f>
        <v>#REF!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7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7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7" ht="14.25" customHeight="1">
      <c r="A14" s="12"/>
      <c r="B14" s="13"/>
      <c r="C14" s="3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7" ht="14.25" customHeight="1">
      <c r="A15" s="14"/>
      <c r="B15" s="15"/>
      <c r="C15" s="3" t="s">
        <v>25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7" ht="14.25" customHeight="1">
      <c r="A16" s="16"/>
      <c r="B16" s="17"/>
      <c r="C16" s="3" t="s">
        <v>26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4.08984375" customWidth="1"/>
    <col min="2" max="2" width="64.54296875" customWidth="1"/>
    <col min="3" max="3" width="39.08984375" customWidth="1"/>
    <col min="4" max="4" width="49.08984375" customWidth="1"/>
    <col min="5" max="5" width="9.453125" customWidth="1"/>
    <col min="6" max="6" width="49.54296875" customWidth="1"/>
    <col min="7" max="7" width="8.7265625" customWidth="1"/>
  </cols>
  <sheetData>
    <row r="1" spans="1:27" ht="14.25" customHeight="1">
      <c r="A1" s="1" t="s">
        <v>0</v>
      </c>
      <c r="B1" s="28" t="s">
        <v>1</v>
      </c>
      <c r="C1" s="2" t="s">
        <v>2</v>
      </c>
      <c r="D1" s="1" t="s">
        <v>27</v>
      </c>
      <c r="E1" s="29"/>
      <c r="F1" s="1" t="s">
        <v>41</v>
      </c>
    </row>
    <row r="2" spans="1:27" ht="15.5">
      <c r="A2" s="4">
        <v>1</v>
      </c>
      <c r="B2" s="20" t="s">
        <v>42</v>
      </c>
      <c r="C2" s="20" t="s">
        <v>43</v>
      </c>
      <c r="D2" s="22"/>
      <c r="E2" s="30" t="s">
        <v>30</v>
      </c>
      <c r="F2" s="21"/>
    </row>
    <row r="3" spans="1:27" ht="13.5" customHeight="1">
      <c r="A3" s="8">
        <v>2</v>
      </c>
      <c r="B3" s="9" t="s">
        <v>44</v>
      </c>
      <c r="C3" s="31" t="s">
        <v>45</v>
      </c>
      <c r="D3" s="5"/>
      <c r="E3" s="30" t="s">
        <v>30</v>
      </c>
      <c r="F3" s="21"/>
    </row>
    <row r="4" spans="1:27" ht="13.5" customHeight="1">
      <c r="A4" s="32">
        <v>3</v>
      </c>
      <c r="B4" s="23" t="s">
        <v>46</v>
      </c>
      <c r="C4" s="23" t="s">
        <v>47</v>
      </c>
      <c r="D4" s="33"/>
      <c r="E4" s="24" t="s">
        <v>30</v>
      </c>
      <c r="F4" s="34"/>
    </row>
    <row r="5" spans="1:27" ht="13.5" customHeight="1">
      <c r="A5" s="35">
        <v>4</v>
      </c>
      <c r="B5" s="36" t="s">
        <v>48</v>
      </c>
      <c r="C5" s="37" t="s">
        <v>49</v>
      </c>
      <c r="D5" s="27"/>
      <c r="E5" s="27" t="s">
        <v>17</v>
      </c>
      <c r="F5" s="34"/>
    </row>
    <row r="6" spans="1:27" ht="14.25" customHeight="1">
      <c r="A6" s="38">
        <v>5</v>
      </c>
      <c r="B6" s="39" t="s">
        <v>50</v>
      </c>
      <c r="C6" s="39" t="s">
        <v>51</v>
      </c>
      <c r="D6" s="25"/>
      <c r="E6" s="27" t="s">
        <v>17</v>
      </c>
      <c r="F6" s="34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pans="1:27" ht="14.25" customHeight="1">
      <c r="A7" s="35">
        <v>6</v>
      </c>
      <c r="B7" s="36" t="s">
        <v>52</v>
      </c>
      <c r="C7" s="36" t="s">
        <v>53</v>
      </c>
      <c r="D7" s="27"/>
      <c r="E7" s="41" t="s">
        <v>7</v>
      </c>
      <c r="F7" s="34"/>
    </row>
    <row r="8" spans="1:27" ht="14.25" customHeight="1">
      <c r="A8" s="38">
        <v>7</v>
      </c>
      <c r="B8" s="36" t="s">
        <v>54</v>
      </c>
      <c r="C8" s="42" t="s">
        <v>55</v>
      </c>
      <c r="D8" s="43"/>
      <c r="E8" s="27" t="s">
        <v>17</v>
      </c>
      <c r="F8" s="27"/>
    </row>
    <row r="9" spans="1:27" ht="14.25" customHeight="1">
      <c r="A9" s="35">
        <v>8</v>
      </c>
      <c r="B9" s="44" t="s">
        <v>56</v>
      </c>
      <c r="C9" s="45" t="s">
        <v>57</v>
      </c>
      <c r="D9" s="27"/>
      <c r="E9" s="27" t="s">
        <v>7</v>
      </c>
      <c r="F9" s="27"/>
    </row>
    <row r="10" spans="1:27" ht="14.25" customHeight="1">
      <c r="A10" s="38">
        <v>9</v>
      </c>
      <c r="B10" s="45" t="s">
        <v>58</v>
      </c>
      <c r="C10" s="45" t="s">
        <v>59</v>
      </c>
      <c r="D10" s="27"/>
      <c r="E10" s="27" t="s">
        <v>17</v>
      </c>
      <c r="F10" s="34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pans="1:27" ht="14.25" customHeight="1">
      <c r="A11" s="35">
        <v>10</v>
      </c>
      <c r="B11" s="45" t="s">
        <v>60</v>
      </c>
      <c r="C11" s="45" t="s">
        <v>61</v>
      </c>
      <c r="D11" s="27"/>
      <c r="E11" s="27" t="s">
        <v>17</v>
      </c>
      <c r="F11" s="27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pans="1:27" ht="14.25" customHeight="1">
      <c r="A12" s="38">
        <v>11</v>
      </c>
      <c r="B12" s="45" t="s">
        <v>62</v>
      </c>
      <c r="C12" s="45" t="s">
        <v>63</v>
      </c>
      <c r="D12" s="27"/>
      <c r="E12" s="27" t="s">
        <v>7</v>
      </c>
      <c r="F12" s="27"/>
    </row>
    <row r="13" spans="1:27" ht="14.25" customHeight="1">
      <c r="A13" s="38">
        <v>12</v>
      </c>
      <c r="B13" s="45" t="s">
        <v>64</v>
      </c>
      <c r="C13" s="45" t="s">
        <v>65</v>
      </c>
      <c r="E13" s="46"/>
    </row>
    <row r="14" spans="1:27" ht="14.25" customHeight="1">
      <c r="A14" s="38">
        <v>13</v>
      </c>
      <c r="B14" s="45" t="s">
        <v>66</v>
      </c>
      <c r="C14" s="45" t="s">
        <v>67</v>
      </c>
      <c r="D14" s="27" t="s">
        <v>36</v>
      </c>
      <c r="E14" s="27">
        <f>COUNTIF(E2:E12, "C")</f>
        <v>0</v>
      </c>
    </row>
    <row r="15" spans="1:27" ht="14.25" customHeight="1">
      <c r="A15" s="47"/>
      <c r="B15" s="47"/>
      <c r="D15" s="27" t="s">
        <v>37</v>
      </c>
      <c r="E15" s="27">
        <f>COUNTIF(E2:E12, "H")</f>
        <v>3</v>
      </c>
    </row>
    <row r="16" spans="1:27" ht="14.25" customHeight="1">
      <c r="D16" s="27" t="s">
        <v>38</v>
      </c>
      <c r="E16" s="27">
        <f>COUNTIF(E2:E12, "M")</f>
        <v>5</v>
      </c>
    </row>
    <row r="17" spans="4:5" ht="14.25" customHeight="1">
      <c r="D17" s="27" t="s">
        <v>39</v>
      </c>
      <c r="E17" s="27">
        <f>COUNTIF(E2:E12, "Coord")</f>
        <v>3</v>
      </c>
    </row>
    <row r="18" spans="4:5" ht="14.25" customHeight="1">
      <c r="D18" s="27" t="s">
        <v>40</v>
      </c>
      <c r="E18" s="27">
        <f>SUM(E14:E17)</f>
        <v>11</v>
      </c>
    </row>
    <row r="19" spans="4:5" ht="14.25" customHeight="1">
      <c r="E19" s="46"/>
    </row>
    <row r="20" spans="4:5" ht="14.25" customHeight="1">
      <c r="E20" s="46"/>
    </row>
    <row r="21" spans="4:5" ht="14.25" customHeight="1">
      <c r="E21" s="46"/>
    </row>
    <row r="22" spans="4:5" ht="14.25" customHeight="1">
      <c r="E22" s="46"/>
    </row>
    <row r="23" spans="4:5" ht="14.25" customHeight="1">
      <c r="E23" s="46"/>
    </row>
    <row r="24" spans="4:5" ht="14.25" customHeight="1">
      <c r="E24" s="46"/>
    </row>
    <row r="25" spans="4:5" ht="14.25" customHeight="1">
      <c r="E25" s="46"/>
    </row>
    <row r="26" spans="4:5" ht="14.25" customHeight="1">
      <c r="E26" s="46"/>
    </row>
    <row r="27" spans="4:5" ht="14.25" customHeight="1">
      <c r="E27" s="46"/>
    </row>
    <row r="28" spans="4:5" ht="14.25" customHeight="1">
      <c r="E28" s="46"/>
    </row>
    <row r="29" spans="4:5" ht="14.25" customHeight="1">
      <c r="E29" s="46"/>
    </row>
    <row r="30" spans="4:5" ht="14.25" customHeight="1">
      <c r="E30" s="46"/>
    </row>
    <row r="31" spans="4:5" ht="14.25" customHeight="1">
      <c r="E31" s="46"/>
    </row>
    <row r="32" spans="4:5" ht="14.25" customHeight="1">
      <c r="E32" s="46"/>
    </row>
    <row r="33" spans="5:5" ht="14.25" customHeight="1">
      <c r="E33" s="46"/>
    </row>
    <row r="34" spans="5:5" ht="14.25" customHeight="1">
      <c r="E34" s="46"/>
    </row>
    <row r="35" spans="5:5" ht="14.25" customHeight="1">
      <c r="E35" s="46"/>
    </row>
    <row r="36" spans="5:5" ht="14.25" customHeight="1">
      <c r="E36" s="46"/>
    </row>
    <row r="37" spans="5:5" ht="14.25" customHeight="1">
      <c r="E37" s="46"/>
    </row>
    <row r="38" spans="5:5" ht="14.25" customHeight="1">
      <c r="E38" s="46"/>
    </row>
    <row r="39" spans="5:5" ht="14.25" customHeight="1">
      <c r="E39" s="46"/>
    </row>
    <row r="40" spans="5:5" ht="14.25" customHeight="1">
      <c r="E40" s="46"/>
    </row>
    <row r="41" spans="5:5" ht="14.25" customHeight="1">
      <c r="E41" s="46"/>
    </row>
    <row r="42" spans="5:5" ht="14.25" customHeight="1">
      <c r="E42" s="46"/>
    </row>
    <row r="43" spans="5:5" ht="14.25" customHeight="1">
      <c r="E43" s="46"/>
    </row>
    <row r="44" spans="5:5" ht="14.25" customHeight="1">
      <c r="E44" s="46"/>
    </row>
    <row r="45" spans="5:5" ht="14.25" customHeight="1">
      <c r="E45" s="46"/>
    </row>
    <row r="46" spans="5:5" ht="14.25" customHeight="1">
      <c r="E46" s="46"/>
    </row>
    <row r="47" spans="5:5" ht="14.25" customHeight="1">
      <c r="E47" s="46"/>
    </row>
    <row r="48" spans="5:5" ht="14.25" customHeight="1">
      <c r="E48" s="46"/>
    </row>
    <row r="49" spans="5:5" ht="14.25" customHeight="1">
      <c r="E49" s="46"/>
    </row>
    <row r="50" spans="5:5" ht="14.25" customHeight="1">
      <c r="E50" s="46"/>
    </row>
    <row r="51" spans="5:5" ht="14.25" customHeight="1">
      <c r="E51" s="46"/>
    </row>
    <row r="52" spans="5:5" ht="14.25" customHeight="1">
      <c r="E52" s="46"/>
    </row>
    <row r="53" spans="5:5" ht="14.25" customHeight="1">
      <c r="E53" s="46"/>
    </row>
    <row r="54" spans="5:5" ht="14.25" customHeight="1">
      <c r="E54" s="46"/>
    </row>
    <row r="55" spans="5:5" ht="14.25" customHeight="1">
      <c r="E55" s="46"/>
    </row>
    <row r="56" spans="5:5" ht="14.25" customHeight="1">
      <c r="E56" s="46"/>
    </row>
    <row r="57" spans="5:5" ht="14.25" customHeight="1">
      <c r="E57" s="46"/>
    </row>
    <row r="58" spans="5:5" ht="14.25" customHeight="1">
      <c r="E58" s="46"/>
    </row>
    <row r="59" spans="5:5" ht="14.25" customHeight="1">
      <c r="E59" s="46"/>
    </row>
    <row r="60" spans="5:5" ht="14.25" customHeight="1">
      <c r="E60" s="46"/>
    </row>
    <row r="61" spans="5:5" ht="14.25" customHeight="1">
      <c r="E61" s="46"/>
    </row>
    <row r="62" spans="5:5" ht="14.25" customHeight="1">
      <c r="E62" s="46"/>
    </row>
    <row r="63" spans="5:5" ht="14.25" customHeight="1">
      <c r="E63" s="46"/>
    </row>
    <row r="64" spans="5:5" ht="14.25" customHeight="1">
      <c r="E64" s="46"/>
    </row>
    <row r="65" spans="5:5" ht="14.25" customHeight="1">
      <c r="E65" s="46"/>
    </row>
    <row r="66" spans="5:5" ht="14.25" customHeight="1">
      <c r="E66" s="46"/>
    </row>
    <row r="67" spans="5:5" ht="14.25" customHeight="1">
      <c r="E67" s="46"/>
    </row>
    <row r="68" spans="5:5" ht="14.25" customHeight="1">
      <c r="E68" s="46"/>
    </row>
    <row r="69" spans="5:5" ht="14.25" customHeight="1">
      <c r="E69" s="46"/>
    </row>
    <row r="70" spans="5:5" ht="14.25" customHeight="1">
      <c r="E70" s="46"/>
    </row>
    <row r="71" spans="5:5" ht="14.25" customHeight="1">
      <c r="E71" s="46"/>
    </row>
    <row r="72" spans="5:5" ht="14.25" customHeight="1">
      <c r="E72" s="46"/>
    </row>
    <row r="73" spans="5:5" ht="14.25" customHeight="1">
      <c r="E73" s="46"/>
    </row>
    <row r="74" spans="5:5" ht="14.25" customHeight="1">
      <c r="E74" s="46"/>
    </row>
    <row r="75" spans="5:5" ht="14.25" customHeight="1">
      <c r="E75" s="46"/>
    </row>
    <row r="76" spans="5:5" ht="14.25" customHeight="1">
      <c r="E76" s="46"/>
    </row>
    <row r="77" spans="5:5" ht="14.25" customHeight="1">
      <c r="E77" s="46"/>
    </row>
    <row r="78" spans="5:5" ht="14.25" customHeight="1">
      <c r="E78" s="46"/>
    </row>
    <row r="79" spans="5:5" ht="14.25" customHeight="1">
      <c r="E79" s="46"/>
    </row>
    <row r="80" spans="5:5" ht="14.25" customHeight="1">
      <c r="E80" s="46"/>
    </row>
    <row r="81" spans="5:5" ht="14.25" customHeight="1">
      <c r="E81" s="46"/>
    </row>
    <row r="82" spans="5:5" ht="14.25" customHeight="1">
      <c r="E82" s="46"/>
    </row>
    <row r="83" spans="5:5" ht="14.25" customHeight="1">
      <c r="E83" s="46"/>
    </row>
    <row r="84" spans="5:5" ht="14.25" customHeight="1">
      <c r="E84" s="46"/>
    </row>
    <row r="85" spans="5:5" ht="14.25" customHeight="1">
      <c r="E85" s="46"/>
    </row>
    <row r="86" spans="5:5" ht="14.25" customHeight="1">
      <c r="E86" s="46"/>
    </row>
    <row r="87" spans="5:5" ht="14.25" customHeight="1">
      <c r="E87" s="46"/>
    </row>
    <row r="88" spans="5:5" ht="14.25" customHeight="1">
      <c r="E88" s="46"/>
    </row>
    <row r="89" spans="5:5" ht="14.25" customHeight="1">
      <c r="E89" s="46"/>
    </row>
    <row r="90" spans="5:5" ht="14.25" customHeight="1">
      <c r="E90" s="46"/>
    </row>
    <row r="91" spans="5:5" ht="14.25" customHeight="1">
      <c r="E91" s="46"/>
    </row>
    <row r="92" spans="5:5" ht="14.25" customHeight="1">
      <c r="E92" s="46"/>
    </row>
    <row r="93" spans="5:5" ht="14.25" customHeight="1">
      <c r="E93" s="46"/>
    </row>
    <row r="94" spans="5:5" ht="14.25" customHeight="1">
      <c r="E94" s="46"/>
    </row>
    <row r="95" spans="5:5" ht="14.25" customHeight="1">
      <c r="E95" s="46"/>
    </row>
    <row r="96" spans="5:5" ht="14.25" customHeight="1">
      <c r="E96" s="46"/>
    </row>
    <row r="97" spans="5:5" ht="14.25" customHeight="1">
      <c r="E97" s="46"/>
    </row>
    <row r="98" spans="5:5" ht="14.25" customHeight="1">
      <c r="E98" s="46"/>
    </row>
    <row r="99" spans="5:5" ht="14.25" customHeight="1">
      <c r="E99" s="46"/>
    </row>
    <row r="100" spans="5:5" ht="14.25" customHeight="1">
      <c r="E100" s="46"/>
    </row>
    <row r="101" spans="5:5" ht="14.25" customHeight="1">
      <c r="E101" s="46"/>
    </row>
    <row r="102" spans="5:5" ht="14.25" customHeight="1">
      <c r="E102" s="46"/>
    </row>
    <row r="103" spans="5:5" ht="14.25" customHeight="1">
      <c r="E103" s="46"/>
    </row>
    <row r="104" spans="5:5" ht="14.25" customHeight="1">
      <c r="E104" s="46"/>
    </row>
    <row r="105" spans="5:5" ht="14.25" customHeight="1">
      <c r="E105" s="46"/>
    </row>
    <row r="106" spans="5:5" ht="14.25" customHeight="1">
      <c r="E106" s="46"/>
    </row>
    <row r="107" spans="5:5" ht="14.25" customHeight="1">
      <c r="E107" s="46"/>
    </row>
    <row r="108" spans="5:5" ht="14.25" customHeight="1">
      <c r="E108" s="46"/>
    </row>
    <row r="109" spans="5:5" ht="14.25" customHeight="1">
      <c r="E109" s="46"/>
    </row>
    <row r="110" spans="5:5" ht="14.25" customHeight="1">
      <c r="E110" s="46"/>
    </row>
    <row r="111" spans="5:5" ht="14.25" customHeight="1">
      <c r="E111" s="46"/>
    </row>
    <row r="112" spans="5:5" ht="14.25" customHeight="1">
      <c r="E112" s="46"/>
    </row>
    <row r="113" spans="5:5" ht="14.25" customHeight="1">
      <c r="E113" s="46"/>
    </row>
    <row r="114" spans="5:5" ht="14.25" customHeight="1">
      <c r="E114" s="46"/>
    </row>
    <row r="115" spans="5:5" ht="14.25" customHeight="1">
      <c r="E115" s="46"/>
    </row>
    <row r="116" spans="5:5" ht="14.25" customHeight="1">
      <c r="E116" s="46"/>
    </row>
    <row r="117" spans="5:5" ht="14.25" customHeight="1">
      <c r="E117" s="46"/>
    </row>
    <row r="118" spans="5:5" ht="14.25" customHeight="1">
      <c r="E118" s="46"/>
    </row>
    <row r="119" spans="5:5" ht="14.25" customHeight="1">
      <c r="E119" s="46"/>
    </row>
    <row r="120" spans="5:5" ht="14.25" customHeight="1">
      <c r="E120" s="46"/>
    </row>
    <row r="121" spans="5:5" ht="14.25" customHeight="1">
      <c r="E121" s="46"/>
    </row>
    <row r="122" spans="5:5" ht="14.25" customHeight="1">
      <c r="E122" s="46"/>
    </row>
    <row r="123" spans="5:5" ht="14.25" customHeight="1">
      <c r="E123" s="46"/>
    </row>
    <row r="124" spans="5:5" ht="14.25" customHeight="1">
      <c r="E124" s="46"/>
    </row>
    <row r="125" spans="5:5" ht="14.25" customHeight="1">
      <c r="E125" s="46"/>
    </row>
    <row r="126" spans="5:5" ht="14.25" customHeight="1">
      <c r="E126" s="46"/>
    </row>
    <row r="127" spans="5:5" ht="14.25" customHeight="1">
      <c r="E127" s="46"/>
    </row>
    <row r="128" spans="5:5" ht="14.25" customHeight="1">
      <c r="E128" s="46"/>
    </row>
    <row r="129" spans="5:5" ht="14.25" customHeight="1">
      <c r="E129" s="46"/>
    </row>
    <row r="130" spans="5:5" ht="14.25" customHeight="1">
      <c r="E130" s="46"/>
    </row>
    <row r="131" spans="5:5" ht="14.25" customHeight="1">
      <c r="E131" s="46"/>
    </row>
    <row r="132" spans="5:5" ht="14.25" customHeight="1">
      <c r="E132" s="46"/>
    </row>
    <row r="133" spans="5:5" ht="14.25" customHeight="1">
      <c r="E133" s="46"/>
    </row>
    <row r="134" spans="5:5" ht="14.25" customHeight="1">
      <c r="E134" s="46"/>
    </row>
    <row r="135" spans="5:5" ht="14.25" customHeight="1">
      <c r="E135" s="46"/>
    </row>
    <row r="136" spans="5:5" ht="14.25" customHeight="1">
      <c r="E136" s="46"/>
    </row>
    <row r="137" spans="5:5" ht="14.25" customHeight="1">
      <c r="E137" s="46"/>
    </row>
    <row r="138" spans="5:5" ht="14.25" customHeight="1">
      <c r="E138" s="46"/>
    </row>
    <row r="139" spans="5:5" ht="14.25" customHeight="1">
      <c r="E139" s="46"/>
    </row>
    <row r="140" spans="5:5" ht="14.25" customHeight="1">
      <c r="E140" s="46"/>
    </row>
    <row r="141" spans="5:5" ht="14.25" customHeight="1">
      <c r="E141" s="46"/>
    </row>
    <row r="142" spans="5:5" ht="14.25" customHeight="1">
      <c r="E142" s="46"/>
    </row>
    <row r="143" spans="5:5" ht="14.25" customHeight="1">
      <c r="E143" s="46"/>
    </row>
    <row r="144" spans="5:5" ht="14.25" customHeight="1">
      <c r="E144" s="46"/>
    </row>
    <row r="145" spans="5:5" ht="14.25" customHeight="1">
      <c r="E145" s="46"/>
    </row>
    <row r="146" spans="5:5" ht="14.25" customHeight="1">
      <c r="E146" s="46"/>
    </row>
    <row r="147" spans="5:5" ht="14.25" customHeight="1">
      <c r="E147" s="46"/>
    </row>
    <row r="148" spans="5:5" ht="14.25" customHeight="1">
      <c r="E148" s="46"/>
    </row>
    <row r="149" spans="5:5" ht="14.25" customHeight="1">
      <c r="E149" s="46"/>
    </row>
    <row r="150" spans="5:5" ht="14.25" customHeight="1">
      <c r="E150" s="46"/>
    </row>
    <row r="151" spans="5:5" ht="14.25" customHeight="1">
      <c r="E151" s="46"/>
    </row>
    <row r="152" spans="5:5" ht="14.25" customHeight="1">
      <c r="E152" s="46"/>
    </row>
    <row r="153" spans="5:5" ht="14.25" customHeight="1">
      <c r="E153" s="46"/>
    </row>
    <row r="154" spans="5:5" ht="14.25" customHeight="1">
      <c r="E154" s="46"/>
    </row>
    <row r="155" spans="5:5" ht="14.25" customHeight="1">
      <c r="E155" s="46"/>
    </row>
    <row r="156" spans="5:5" ht="14.25" customHeight="1">
      <c r="E156" s="46"/>
    </row>
    <row r="157" spans="5:5" ht="14.25" customHeight="1">
      <c r="E157" s="46"/>
    </row>
    <row r="158" spans="5:5" ht="14.25" customHeight="1">
      <c r="E158" s="46"/>
    </row>
    <row r="159" spans="5:5" ht="14.25" customHeight="1">
      <c r="E159" s="46"/>
    </row>
    <row r="160" spans="5:5" ht="14.25" customHeight="1">
      <c r="E160" s="46"/>
    </row>
    <row r="161" spans="5:5" ht="14.25" customHeight="1">
      <c r="E161" s="46"/>
    </row>
    <row r="162" spans="5:5" ht="14.25" customHeight="1">
      <c r="E162" s="46"/>
    </row>
    <row r="163" spans="5:5" ht="14.25" customHeight="1">
      <c r="E163" s="46"/>
    </row>
    <row r="164" spans="5:5" ht="14.25" customHeight="1">
      <c r="E164" s="46"/>
    </row>
    <row r="165" spans="5:5" ht="14.25" customHeight="1">
      <c r="E165" s="46"/>
    </row>
    <row r="166" spans="5:5" ht="14.25" customHeight="1">
      <c r="E166" s="46"/>
    </row>
    <row r="167" spans="5:5" ht="14.25" customHeight="1">
      <c r="E167" s="46"/>
    </row>
    <row r="168" spans="5:5" ht="14.25" customHeight="1">
      <c r="E168" s="46"/>
    </row>
    <row r="169" spans="5:5" ht="14.25" customHeight="1">
      <c r="E169" s="46"/>
    </row>
    <row r="170" spans="5:5" ht="14.25" customHeight="1">
      <c r="E170" s="46"/>
    </row>
    <row r="171" spans="5:5" ht="14.25" customHeight="1">
      <c r="E171" s="46"/>
    </row>
    <row r="172" spans="5:5" ht="14.25" customHeight="1">
      <c r="E172" s="46"/>
    </row>
    <row r="173" spans="5:5" ht="14.25" customHeight="1">
      <c r="E173" s="46"/>
    </row>
    <row r="174" spans="5:5" ht="14.25" customHeight="1">
      <c r="E174" s="46"/>
    </row>
    <row r="175" spans="5:5" ht="14.25" customHeight="1">
      <c r="E175" s="46"/>
    </row>
    <row r="176" spans="5:5" ht="14.25" customHeight="1">
      <c r="E176" s="46"/>
    </row>
    <row r="177" spans="5:5" ht="14.25" customHeight="1">
      <c r="E177" s="46"/>
    </row>
    <row r="178" spans="5:5" ht="14.25" customHeight="1">
      <c r="E178" s="46"/>
    </row>
    <row r="179" spans="5:5" ht="14.25" customHeight="1">
      <c r="E179" s="46"/>
    </row>
    <row r="180" spans="5:5" ht="14.25" customHeight="1">
      <c r="E180" s="46"/>
    </row>
    <row r="181" spans="5:5" ht="14.25" customHeight="1">
      <c r="E181" s="46"/>
    </row>
    <row r="182" spans="5:5" ht="14.25" customHeight="1">
      <c r="E182" s="46"/>
    </row>
    <row r="183" spans="5:5" ht="14.25" customHeight="1">
      <c r="E183" s="46"/>
    </row>
    <row r="184" spans="5:5" ht="14.25" customHeight="1">
      <c r="E184" s="46"/>
    </row>
    <row r="185" spans="5:5" ht="14.25" customHeight="1">
      <c r="E185" s="46"/>
    </row>
    <row r="186" spans="5:5" ht="14.25" customHeight="1">
      <c r="E186" s="46"/>
    </row>
    <row r="187" spans="5:5" ht="14.25" customHeight="1">
      <c r="E187" s="46"/>
    </row>
    <row r="188" spans="5:5" ht="14.25" customHeight="1">
      <c r="E188" s="46"/>
    </row>
    <row r="189" spans="5:5" ht="14.25" customHeight="1">
      <c r="E189" s="46"/>
    </row>
    <row r="190" spans="5:5" ht="14.25" customHeight="1">
      <c r="E190" s="46"/>
    </row>
    <row r="191" spans="5:5" ht="14.25" customHeight="1">
      <c r="E191" s="46"/>
    </row>
    <row r="192" spans="5:5" ht="14.25" customHeight="1">
      <c r="E192" s="46"/>
    </row>
    <row r="193" spans="5:5" ht="14.25" customHeight="1">
      <c r="E193" s="46"/>
    </row>
    <row r="194" spans="5:5" ht="14.25" customHeight="1">
      <c r="E194" s="46"/>
    </row>
    <row r="195" spans="5:5" ht="14.25" customHeight="1">
      <c r="E195" s="46"/>
    </row>
    <row r="196" spans="5:5" ht="14.25" customHeight="1">
      <c r="E196" s="46"/>
    </row>
    <row r="197" spans="5:5" ht="14.25" customHeight="1">
      <c r="E197" s="46"/>
    </row>
    <row r="198" spans="5:5" ht="14.25" customHeight="1">
      <c r="E198" s="46"/>
    </row>
    <row r="199" spans="5:5" ht="14.25" customHeight="1">
      <c r="E199" s="46"/>
    </row>
    <row r="200" spans="5:5" ht="14.25" customHeight="1">
      <c r="E200" s="46"/>
    </row>
    <row r="201" spans="5:5" ht="14.25" customHeight="1">
      <c r="E201" s="46"/>
    </row>
    <row r="202" spans="5:5" ht="14.25" customHeight="1">
      <c r="E202" s="46"/>
    </row>
    <row r="203" spans="5:5" ht="14.25" customHeight="1">
      <c r="E203" s="46"/>
    </row>
    <row r="204" spans="5:5" ht="14.25" customHeight="1">
      <c r="E204" s="46"/>
    </row>
    <row r="205" spans="5:5" ht="14.25" customHeight="1">
      <c r="E205" s="46"/>
    </row>
    <row r="206" spans="5:5" ht="14.25" customHeight="1">
      <c r="E206" s="46"/>
    </row>
    <row r="207" spans="5:5" ht="14.25" customHeight="1">
      <c r="E207" s="46"/>
    </row>
    <row r="208" spans="5:5" ht="14.25" customHeight="1">
      <c r="E208" s="46"/>
    </row>
    <row r="209" spans="5:5" ht="14.25" customHeight="1">
      <c r="E209" s="46"/>
    </row>
    <row r="210" spans="5:5" ht="14.25" customHeight="1">
      <c r="E210" s="46"/>
    </row>
    <row r="211" spans="5:5" ht="14.25" customHeight="1">
      <c r="E211" s="46"/>
    </row>
    <row r="212" spans="5:5" ht="14.25" customHeight="1">
      <c r="E212" s="46"/>
    </row>
    <row r="213" spans="5:5" ht="14.25" customHeight="1">
      <c r="E213" s="46"/>
    </row>
    <row r="214" spans="5:5" ht="14.25" customHeight="1">
      <c r="E214" s="46"/>
    </row>
    <row r="215" spans="5:5" ht="14.25" customHeight="1">
      <c r="E215" s="46"/>
    </row>
    <row r="216" spans="5:5" ht="14.25" customHeight="1">
      <c r="E216" s="46"/>
    </row>
    <row r="217" spans="5:5" ht="14.25" customHeight="1">
      <c r="E217" s="46"/>
    </row>
    <row r="218" spans="5:5" ht="14.25" customHeight="1">
      <c r="E218" s="46"/>
    </row>
    <row r="219" spans="5:5" ht="15.75" customHeight="1"/>
    <row r="220" spans="5:5" ht="15.75" customHeight="1"/>
    <row r="221" spans="5:5" ht="15.75" customHeight="1"/>
    <row r="222" spans="5:5" ht="15.75" customHeight="1"/>
    <row r="223" spans="5:5" ht="15.75" customHeight="1"/>
    <row r="224" spans="5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  <outlinePr summaryBelow="0" summaryRight="0"/>
  </sheetPr>
  <dimension ref="A1:Y1000"/>
  <sheetViews>
    <sheetView workbookViewId="0"/>
  </sheetViews>
  <sheetFormatPr defaultColWidth="14.453125" defaultRowHeight="15" customHeight="1"/>
  <cols>
    <col min="1" max="1" width="4.7265625" customWidth="1"/>
    <col min="2" max="2" width="39.81640625" customWidth="1"/>
    <col min="3" max="3" width="28" customWidth="1"/>
    <col min="4" max="4" width="38.26953125" customWidth="1"/>
    <col min="5" max="8" width="8.7265625" customWidth="1"/>
  </cols>
  <sheetData>
    <row r="1" spans="1:25" ht="14.25" customHeight="1">
      <c r="A1" s="1" t="s">
        <v>0</v>
      </c>
      <c r="B1" s="1" t="s">
        <v>1</v>
      </c>
      <c r="C1" s="1" t="s">
        <v>2</v>
      </c>
      <c r="D1" s="1" t="s">
        <v>27</v>
      </c>
      <c r="E1" s="1"/>
      <c r="F1" s="46"/>
      <c r="G1" s="46"/>
      <c r="H1" s="4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>
      <c r="A2" s="4">
        <v>1</v>
      </c>
      <c r="B2" s="20" t="s">
        <v>68</v>
      </c>
      <c r="C2" s="20" t="s">
        <v>69</v>
      </c>
      <c r="D2" s="22"/>
      <c r="E2" s="42" t="s">
        <v>17</v>
      </c>
      <c r="F2" s="46"/>
      <c r="G2" s="46"/>
      <c r="H2" s="4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4.25" customHeight="1">
      <c r="A3" s="8">
        <v>2</v>
      </c>
      <c r="B3" s="48" t="s">
        <v>70</v>
      </c>
      <c r="C3" s="31" t="s">
        <v>71</v>
      </c>
      <c r="D3" s="5"/>
      <c r="E3" s="49" t="s">
        <v>7</v>
      </c>
      <c r="F3" s="46"/>
      <c r="G3" s="46"/>
      <c r="H3" s="4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25" customHeight="1">
      <c r="A5" s="3"/>
      <c r="B5" s="3"/>
      <c r="C5" s="3"/>
      <c r="D5" s="27" t="s">
        <v>36</v>
      </c>
      <c r="E5" s="27">
        <f>COUNTIF(E2:E3, "C")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customHeight="1">
      <c r="A6" s="3"/>
      <c r="B6" s="3"/>
      <c r="C6" s="3"/>
      <c r="D6" s="27" t="s">
        <v>37</v>
      </c>
      <c r="E6" s="27">
        <f>COUNTIF(E2:E3, "H")</f>
        <v>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25" customHeight="1">
      <c r="A7" s="3"/>
      <c r="B7" s="3"/>
      <c r="C7" s="3"/>
      <c r="D7" s="27" t="s">
        <v>38</v>
      </c>
      <c r="E7" s="27">
        <f>COUNTIF(E2:E3, "M")</f>
        <v>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customHeight="1">
      <c r="A8" s="3"/>
      <c r="B8" s="3"/>
      <c r="C8" s="3"/>
      <c r="D8" s="27" t="s">
        <v>39</v>
      </c>
      <c r="E8" s="27">
        <f>COUNTIF(E2:E3, "Coord")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>
      <c r="A9" s="46"/>
      <c r="B9" s="46"/>
      <c r="C9" s="3"/>
      <c r="D9" s="27" t="s">
        <v>40</v>
      </c>
      <c r="E9" s="27">
        <f>SUM(E5:E8)</f>
        <v>2</v>
      </c>
      <c r="F9" s="4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25" customHeight="1">
      <c r="A10" s="46"/>
      <c r="B10" s="46"/>
      <c r="C10" s="11"/>
      <c r="D10" s="50"/>
      <c r="E10" s="46"/>
      <c r="F10" s="4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2D050"/>
    <outlinePr summaryBelow="0" summaryRight="0"/>
  </sheetPr>
  <dimension ref="A1:AK1014"/>
  <sheetViews>
    <sheetView workbookViewId="0">
      <pane ySplit="1" topLeftCell="A8" activePane="bottomLeft" state="frozen"/>
      <selection pane="bottomLeft" activeCell="B3" sqref="B3"/>
    </sheetView>
  </sheetViews>
  <sheetFormatPr defaultColWidth="14.453125" defaultRowHeight="15" customHeight="1"/>
  <cols>
    <col min="1" max="1" width="3.7265625" customWidth="1"/>
    <col min="2" max="2" width="68.453125" customWidth="1"/>
    <col min="3" max="4" width="38.7265625" customWidth="1"/>
    <col min="5" max="5" width="13.08984375" customWidth="1"/>
    <col min="6" max="6" width="105.26953125" customWidth="1"/>
    <col min="8" max="8" width="69.7265625" customWidth="1"/>
  </cols>
  <sheetData>
    <row r="1" spans="1:37" ht="15.5">
      <c r="A1" s="1" t="s">
        <v>0</v>
      </c>
      <c r="B1" s="51" t="s">
        <v>1</v>
      </c>
      <c r="C1" s="52" t="s">
        <v>2</v>
      </c>
      <c r="D1" s="1" t="s">
        <v>27</v>
      </c>
      <c r="E1" s="1"/>
      <c r="F1" s="1" t="s">
        <v>41</v>
      </c>
      <c r="G1" s="3"/>
      <c r="H1" s="3"/>
      <c r="I1" s="3"/>
      <c r="J1" s="3"/>
      <c r="K1" s="46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37" ht="15.5">
      <c r="A2" s="4">
        <v>1</v>
      </c>
      <c r="B2" s="9" t="s">
        <v>72</v>
      </c>
      <c r="C2" s="9" t="s">
        <v>73</v>
      </c>
      <c r="D2" s="30"/>
      <c r="E2" s="7" t="s">
        <v>30</v>
      </c>
      <c r="F2" s="53"/>
      <c r="G2" s="3"/>
      <c r="H2" s="3"/>
      <c r="I2" s="3"/>
      <c r="J2" s="3"/>
      <c r="K2" s="4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</row>
    <row r="3" spans="1:37" ht="15.5">
      <c r="A3" s="8">
        <v>2</v>
      </c>
      <c r="B3" s="9" t="s">
        <v>74</v>
      </c>
      <c r="C3" s="31" t="s">
        <v>75</v>
      </c>
      <c r="D3" s="7"/>
      <c r="E3" s="7" t="s">
        <v>30</v>
      </c>
      <c r="F3" s="54"/>
      <c r="G3" s="3"/>
      <c r="H3" s="3"/>
      <c r="I3" s="3"/>
      <c r="J3" s="3"/>
      <c r="K3" s="4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</row>
    <row r="4" spans="1:37" ht="15.5">
      <c r="A4" s="55">
        <v>3</v>
      </c>
      <c r="B4" s="56" t="s">
        <v>76</v>
      </c>
      <c r="C4" s="56" t="s">
        <v>77</v>
      </c>
      <c r="D4" s="57"/>
      <c r="E4" s="23" t="s">
        <v>78</v>
      </c>
      <c r="F4" s="23"/>
      <c r="G4" s="22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37" ht="15.5">
      <c r="A5" s="55">
        <v>4</v>
      </c>
      <c r="B5" s="23" t="s">
        <v>79</v>
      </c>
      <c r="C5" s="23" t="s">
        <v>80</v>
      </c>
      <c r="D5" s="57"/>
      <c r="E5" s="23" t="s">
        <v>78</v>
      </c>
      <c r="F5" s="23"/>
      <c r="G5" s="3"/>
      <c r="H5" s="59"/>
      <c r="I5" s="3"/>
      <c r="J5" s="3"/>
      <c r="K5" s="4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 spans="1:37" ht="15.5">
      <c r="A6" s="55">
        <v>5</v>
      </c>
      <c r="B6" s="23" t="s">
        <v>81</v>
      </c>
      <c r="C6" s="23" t="s">
        <v>82</v>
      </c>
      <c r="D6" s="60"/>
      <c r="E6" s="61" t="s">
        <v>78</v>
      </c>
      <c r="F6" s="62"/>
      <c r="G6" s="63"/>
      <c r="H6" s="64"/>
      <c r="I6" s="63"/>
      <c r="J6" s="63"/>
      <c r="K6" s="65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</row>
    <row r="7" spans="1:37" ht="15.5">
      <c r="A7" s="55">
        <v>6</v>
      </c>
      <c r="B7" s="56" t="s">
        <v>83</v>
      </c>
      <c r="C7" s="56" t="s">
        <v>84</v>
      </c>
      <c r="D7" s="57"/>
      <c r="E7" s="23" t="s">
        <v>78</v>
      </c>
      <c r="F7" s="67"/>
      <c r="G7" s="3"/>
      <c r="H7" s="59"/>
      <c r="I7" s="3"/>
      <c r="J7" s="3"/>
      <c r="K7" s="4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</row>
    <row r="8" spans="1:37" ht="15.5">
      <c r="A8" s="55">
        <f>A7+1</f>
        <v>7</v>
      </c>
      <c r="B8" s="23" t="s">
        <v>85</v>
      </c>
      <c r="C8" s="23" t="s">
        <v>86</v>
      </c>
      <c r="D8" s="68"/>
      <c r="E8" s="69" t="s">
        <v>78</v>
      </c>
      <c r="F8" s="67"/>
      <c r="G8" s="3"/>
      <c r="H8" s="59"/>
      <c r="I8" s="3"/>
      <c r="J8" s="3"/>
      <c r="K8" s="4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</row>
    <row r="9" spans="1:37" ht="15.5">
      <c r="A9" s="38">
        <v>9</v>
      </c>
      <c r="B9" s="42" t="s">
        <v>87</v>
      </c>
      <c r="C9" s="42" t="s">
        <v>88</v>
      </c>
      <c r="D9" s="70"/>
      <c r="E9" s="71" t="s">
        <v>17</v>
      </c>
      <c r="F9" s="72"/>
      <c r="G9" s="3"/>
      <c r="H9" s="73"/>
      <c r="I9" s="3"/>
      <c r="J9" s="3"/>
      <c r="K9" s="4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</row>
    <row r="10" spans="1:37" ht="15.5">
      <c r="A10" s="38">
        <v>10</v>
      </c>
      <c r="B10" s="42" t="s">
        <v>89</v>
      </c>
      <c r="C10" s="74" t="s">
        <v>90</v>
      </c>
      <c r="D10" s="75"/>
      <c r="E10" s="76" t="s">
        <v>17</v>
      </c>
      <c r="F10" s="72"/>
      <c r="G10" s="3"/>
      <c r="H10" s="73"/>
      <c r="I10" s="3"/>
      <c r="J10" s="3"/>
      <c r="K10" s="4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</row>
    <row r="11" spans="1:37" ht="15.5">
      <c r="A11" s="77">
        <v>11</v>
      </c>
      <c r="B11" s="42" t="s">
        <v>91</v>
      </c>
      <c r="C11" s="42" t="s">
        <v>92</v>
      </c>
      <c r="D11" s="78"/>
      <c r="E11" s="79" t="s">
        <v>17</v>
      </c>
      <c r="F11" s="72"/>
      <c r="G11" s="3"/>
      <c r="H11" s="73"/>
      <c r="I11" s="3"/>
      <c r="J11" s="3"/>
      <c r="K11" s="4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</row>
    <row r="12" spans="1:37" ht="15.5">
      <c r="A12" s="77">
        <v>12</v>
      </c>
      <c r="B12" s="80" t="s">
        <v>93</v>
      </c>
      <c r="C12" s="81" t="s">
        <v>94</v>
      </c>
      <c r="D12" s="82"/>
      <c r="E12" s="42" t="s">
        <v>17</v>
      </c>
      <c r="F12" s="83"/>
      <c r="G12" s="3"/>
      <c r="H12" s="59"/>
      <c r="I12" s="3"/>
      <c r="J12" s="3"/>
      <c r="K12" s="4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</row>
    <row r="13" spans="1:37" ht="15.5">
      <c r="A13" s="77">
        <v>13</v>
      </c>
      <c r="B13" s="42" t="s">
        <v>95</v>
      </c>
      <c r="C13" s="84" t="s">
        <v>96</v>
      </c>
      <c r="D13" s="85"/>
      <c r="E13" s="86" t="s">
        <v>17</v>
      </c>
      <c r="F13" s="83"/>
      <c r="G13" s="3"/>
      <c r="H13" s="59"/>
      <c r="I13" s="3"/>
      <c r="J13" s="3"/>
      <c r="K13" s="4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</row>
    <row r="14" spans="1:37" ht="15.5">
      <c r="A14" s="77">
        <v>14</v>
      </c>
      <c r="B14" s="42" t="s">
        <v>97</v>
      </c>
      <c r="C14" s="87" t="s">
        <v>98</v>
      </c>
      <c r="D14" s="76"/>
      <c r="E14" s="27" t="s">
        <v>17</v>
      </c>
      <c r="F14" s="83"/>
      <c r="G14" s="3"/>
      <c r="H14" s="59"/>
      <c r="I14" s="3"/>
      <c r="J14" s="3"/>
      <c r="K14" s="4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</row>
    <row r="15" spans="1:37" ht="15.5">
      <c r="A15" s="77">
        <v>15</v>
      </c>
      <c r="B15" s="39" t="s">
        <v>99</v>
      </c>
      <c r="C15" s="39" t="s">
        <v>100</v>
      </c>
      <c r="D15" s="88"/>
      <c r="E15" s="85" t="s">
        <v>17</v>
      </c>
      <c r="F15" s="72"/>
      <c r="G15" s="3"/>
      <c r="H15" s="89"/>
      <c r="I15" s="3"/>
      <c r="J15" s="3"/>
      <c r="K15" s="4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</row>
    <row r="16" spans="1:37" ht="15.5">
      <c r="A16" s="38">
        <v>16</v>
      </c>
      <c r="B16" s="42" t="s">
        <v>101</v>
      </c>
      <c r="C16" s="42" t="s">
        <v>102</v>
      </c>
      <c r="D16" s="81"/>
      <c r="E16" s="81" t="s">
        <v>17</v>
      </c>
      <c r="F16" s="42"/>
      <c r="G16" s="3"/>
      <c r="H16" s="89"/>
      <c r="I16" s="3"/>
      <c r="J16" s="3"/>
      <c r="K16" s="4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</row>
    <row r="17" spans="1:37" ht="15.5">
      <c r="A17" s="38">
        <v>17</v>
      </c>
      <c r="B17" s="90" t="s">
        <v>103</v>
      </c>
      <c r="C17" s="91" t="s">
        <v>104</v>
      </c>
      <c r="D17" s="81"/>
      <c r="E17" s="92" t="s">
        <v>17</v>
      </c>
      <c r="F17" s="93"/>
      <c r="G17" s="3"/>
      <c r="H17" s="9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</row>
    <row r="18" spans="1:37" ht="15.5">
      <c r="A18" s="38">
        <v>18</v>
      </c>
      <c r="B18" s="42" t="s">
        <v>105</v>
      </c>
      <c r="C18" s="42" t="s">
        <v>106</v>
      </c>
      <c r="D18" s="96"/>
      <c r="E18" s="87" t="s">
        <v>17</v>
      </c>
      <c r="F18" s="93"/>
      <c r="G18" s="3"/>
      <c r="H18" s="9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</row>
    <row r="19" spans="1:37" ht="15.5">
      <c r="A19" s="38">
        <v>19</v>
      </c>
      <c r="B19" s="97" t="s">
        <v>107</v>
      </c>
      <c r="C19" s="98" t="s">
        <v>108</v>
      </c>
      <c r="D19" s="88"/>
      <c r="E19" s="88" t="s">
        <v>17</v>
      </c>
      <c r="F19" s="72"/>
      <c r="G19" s="3"/>
      <c r="H19" s="89"/>
      <c r="I19" s="3"/>
      <c r="J19" s="3"/>
      <c r="K19" s="4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</row>
    <row r="20" spans="1:37" ht="15.5">
      <c r="A20" s="38">
        <v>20</v>
      </c>
      <c r="B20" s="97" t="s">
        <v>109</v>
      </c>
      <c r="C20" s="98" t="s">
        <v>110</v>
      </c>
      <c r="D20" s="87"/>
      <c r="E20" s="87" t="s">
        <v>17</v>
      </c>
      <c r="F20" s="72"/>
      <c r="G20" s="3"/>
      <c r="H20" s="89"/>
      <c r="I20" s="3"/>
      <c r="J20" s="3"/>
      <c r="K20" s="4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</row>
    <row r="21" spans="1:37" ht="15.5">
      <c r="A21" s="38">
        <v>21</v>
      </c>
      <c r="B21" s="97" t="s">
        <v>111</v>
      </c>
      <c r="C21" s="97" t="s">
        <v>112</v>
      </c>
      <c r="D21" s="81"/>
      <c r="E21" s="81" t="s">
        <v>17</v>
      </c>
      <c r="F21" s="72"/>
      <c r="G21" s="3"/>
      <c r="H21" s="59"/>
      <c r="I21" s="3"/>
      <c r="J21" s="3"/>
      <c r="K21" s="4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</row>
    <row r="22" spans="1:37" ht="15.5">
      <c r="A22" s="38">
        <v>22</v>
      </c>
      <c r="B22" s="97" t="s">
        <v>113</v>
      </c>
      <c r="C22" s="98" t="s">
        <v>114</v>
      </c>
      <c r="D22" s="99"/>
      <c r="E22" s="87" t="s">
        <v>17</v>
      </c>
      <c r="F22" s="72"/>
      <c r="G22" s="3"/>
      <c r="H22" s="3"/>
      <c r="I22" s="3"/>
      <c r="J22" s="3"/>
      <c r="K22" s="4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</row>
    <row r="23" spans="1:37" ht="15.5">
      <c r="A23" s="38">
        <v>23</v>
      </c>
      <c r="B23" s="45" t="s">
        <v>115</v>
      </c>
      <c r="C23" s="45" t="s">
        <v>116</v>
      </c>
      <c r="D23" s="87"/>
      <c r="E23" s="87" t="s">
        <v>17</v>
      </c>
      <c r="F23" s="72"/>
      <c r="G23" s="3"/>
      <c r="H23" s="3"/>
      <c r="I23" s="3"/>
      <c r="J23" s="3"/>
      <c r="K23" s="4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</row>
    <row r="24" spans="1:37" ht="15.5">
      <c r="A24" s="38">
        <v>24</v>
      </c>
      <c r="B24" s="97" t="s">
        <v>117</v>
      </c>
      <c r="C24" s="97" t="s">
        <v>118</v>
      </c>
      <c r="D24" s="100"/>
      <c r="E24" s="88" t="s">
        <v>7</v>
      </c>
      <c r="F24" s="72"/>
      <c r="G24" s="3"/>
      <c r="H24" s="3"/>
      <c r="I24" s="3"/>
      <c r="J24" s="3"/>
      <c r="K24" s="101"/>
      <c r="L24" s="102"/>
      <c r="M24" s="102"/>
      <c r="N24" s="10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</row>
    <row r="25" spans="1:37" ht="15.5">
      <c r="A25" s="38">
        <v>25</v>
      </c>
      <c r="B25" s="45" t="s">
        <v>119</v>
      </c>
      <c r="C25" s="45" t="s">
        <v>120</v>
      </c>
      <c r="D25" s="75"/>
      <c r="E25" s="76" t="s">
        <v>7</v>
      </c>
      <c r="F25" s="72"/>
      <c r="G25" s="3"/>
      <c r="H25" s="3"/>
      <c r="I25" s="3"/>
      <c r="J25" s="3"/>
      <c r="K25" s="101"/>
      <c r="L25" s="102"/>
      <c r="M25" s="102"/>
      <c r="N25" s="10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</row>
    <row r="26" spans="1:37" ht="15.5">
      <c r="A26" s="38">
        <v>26</v>
      </c>
      <c r="B26" s="97" t="s">
        <v>121</v>
      </c>
      <c r="C26" s="98" t="s">
        <v>122</v>
      </c>
      <c r="D26" s="85"/>
      <c r="E26" s="86" t="s">
        <v>17</v>
      </c>
      <c r="F26" s="72"/>
      <c r="G26" s="3"/>
      <c r="H26" s="3"/>
      <c r="I26" s="3"/>
      <c r="J26" s="3"/>
      <c r="K26" s="101"/>
      <c r="L26" s="102"/>
      <c r="M26" s="102"/>
      <c r="N26" s="10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</row>
    <row r="27" spans="1:37" ht="15.5">
      <c r="A27" s="38">
        <v>27</v>
      </c>
      <c r="B27" s="103" t="s">
        <v>123</v>
      </c>
      <c r="C27" s="104" t="s">
        <v>124</v>
      </c>
      <c r="D27" s="34"/>
      <c r="E27" s="42" t="s">
        <v>17</v>
      </c>
      <c r="F27" s="72"/>
      <c r="G27" s="3"/>
      <c r="H27" s="3"/>
      <c r="I27" s="3"/>
      <c r="J27" s="3"/>
      <c r="K27" s="101"/>
      <c r="L27" s="102"/>
      <c r="M27" s="102"/>
      <c r="N27" s="10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</row>
    <row r="28" spans="1:37" ht="15.5">
      <c r="A28" s="38">
        <v>28</v>
      </c>
      <c r="B28" s="44" t="s">
        <v>125</v>
      </c>
      <c r="C28" s="105" t="s">
        <v>126</v>
      </c>
      <c r="D28" s="82"/>
      <c r="E28" s="91" t="s">
        <v>17</v>
      </c>
      <c r="F28" s="72"/>
      <c r="G28" s="3"/>
      <c r="H28" s="3"/>
      <c r="I28" s="3"/>
      <c r="J28" s="3"/>
      <c r="K28" s="101"/>
      <c r="L28" s="102"/>
      <c r="M28" s="102"/>
      <c r="N28" s="10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</row>
    <row r="29" spans="1:37" ht="15.75" customHeight="1">
      <c r="A29" s="38">
        <v>29</v>
      </c>
      <c r="B29" s="45" t="s">
        <v>127</v>
      </c>
      <c r="C29" s="45" t="s">
        <v>128</v>
      </c>
      <c r="D29" s="106"/>
      <c r="E29" s="107" t="s">
        <v>17</v>
      </c>
      <c r="F29" s="72"/>
      <c r="G29" s="3"/>
      <c r="H29" s="3"/>
      <c r="I29" s="3"/>
      <c r="J29" s="3"/>
      <c r="K29" s="101"/>
      <c r="L29" s="102"/>
      <c r="M29" s="102"/>
      <c r="N29" s="10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</row>
    <row r="30" spans="1:37" ht="15.75" customHeight="1">
      <c r="A30" s="38">
        <v>30</v>
      </c>
      <c r="B30" s="108" t="s">
        <v>129</v>
      </c>
      <c r="C30" s="97" t="s">
        <v>130</v>
      </c>
      <c r="D30" s="42"/>
      <c r="E30" s="42" t="s">
        <v>17</v>
      </c>
      <c r="F30" s="72"/>
      <c r="G30" s="3"/>
      <c r="H30" s="3"/>
      <c r="I30" s="3"/>
      <c r="J30" s="3"/>
      <c r="K30" s="101"/>
      <c r="L30" s="102"/>
      <c r="M30" s="102"/>
      <c r="N30" s="10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</row>
    <row r="31" spans="1:37" ht="15.75" customHeight="1">
      <c r="A31" s="77">
        <v>31</v>
      </c>
      <c r="B31" s="97" t="s">
        <v>131</v>
      </c>
      <c r="C31" s="98" t="s">
        <v>132</v>
      </c>
      <c r="D31" s="27"/>
      <c r="E31" s="27" t="s">
        <v>7</v>
      </c>
      <c r="F31" s="93"/>
      <c r="G31" s="3"/>
      <c r="H31" s="3"/>
      <c r="I31" s="3"/>
      <c r="J31" s="3"/>
      <c r="K31" s="101"/>
      <c r="L31" s="102"/>
      <c r="M31" s="102"/>
      <c r="N31" s="10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</row>
    <row r="32" spans="1:37" ht="15.75" customHeight="1">
      <c r="A32" s="77">
        <v>32</v>
      </c>
      <c r="B32" s="97" t="s">
        <v>133</v>
      </c>
      <c r="C32" s="98" t="s">
        <v>134</v>
      </c>
      <c r="D32" s="109"/>
      <c r="E32" s="110" t="s">
        <v>17</v>
      </c>
      <c r="F32" s="111"/>
      <c r="G32" s="3"/>
      <c r="H32" s="3"/>
      <c r="I32" s="3"/>
      <c r="J32" s="3"/>
      <c r="K32" s="46"/>
      <c r="L32" s="3"/>
      <c r="M32" s="3"/>
      <c r="N32" s="10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</row>
    <row r="33" spans="1:37" ht="15.75" customHeight="1">
      <c r="A33" s="77">
        <v>33</v>
      </c>
      <c r="B33" s="45" t="s">
        <v>135</v>
      </c>
      <c r="C33" s="112" t="s">
        <v>136</v>
      </c>
      <c r="D33" s="82"/>
      <c r="E33" s="91" t="s">
        <v>17</v>
      </c>
      <c r="F33" s="83"/>
      <c r="G33" s="3"/>
      <c r="H33" s="3"/>
      <c r="I33" s="3"/>
      <c r="J33" s="3"/>
      <c r="K33" s="4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</row>
    <row r="34" spans="1:37" ht="15.75" customHeight="1">
      <c r="A34" s="77">
        <v>34</v>
      </c>
      <c r="B34" s="45" t="s">
        <v>137</v>
      </c>
      <c r="C34" s="112" t="s">
        <v>138</v>
      </c>
      <c r="D34" s="82"/>
      <c r="E34" s="91" t="s">
        <v>17</v>
      </c>
      <c r="F34" s="83"/>
      <c r="G34" s="3"/>
      <c r="H34" s="3"/>
      <c r="I34" s="3"/>
      <c r="J34" s="3"/>
      <c r="K34" s="4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</row>
    <row r="35" spans="1:37" ht="15.75" customHeight="1">
      <c r="A35" s="77">
        <v>35</v>
      </c>
      <c r="B35" s="45" t="s">
        <v>139</v>
      </c>
      <c r="C35" s="112" t="s">
        <v>140</v>
      </c>
      <c r="D35" s="82"/>
      <c r="E35" s="91" t="s">
        <v>17</v>
      </c>
      <c r="F35" s="83"/>
      <c r="G35" s="3"/>
      <c r="H35" s="3"/>
      <c r="I35" s="3"/>
      <c r="J35" s="3"/>
      <c r="K35" s="4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</row>
    <row r="36" spans="1:37" ht="15.75" customHeight="1">
      <c r="A36" s="77">
        <v>36</v>
      </c>
      <c r="B36" s="45" t="s">
        <v>141</v>
      </c>
      <c r="C36" s="112" t="s">
        <v>142</v>
      </c>
      <c r="D36" s="82"/>
      <c r="E36" s="91" t="s">
        <v>17</v>
      </c>
      <c r="F36" s="83"/>
      <c r="G36" s="3"/>
      <c r="H36" s="3"/>
      <c r="I36" s="3"/>
      <c r="J36" s="3"/>
      <c r="K36" s="4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</row>
    <row r="37" spans="1:37" ht="15.75" customHeight="1">
      <c r="A37" s="77">
        <v>37</v>
      </c>
      <c r="B37" s="97" t="s">
        <v>143</v>
      </c>
      <c r="C37" s="113" t="s">
        <v>144</v>
      </c>
      <c r="D37" s="107"/>
      <c r="E37" s="107" t="s">
        <v>7</v>
      </c>
      <c r="F37" s="83"/>
      <c r="G37" s="3"/>
      <c r="H37" s="3"/>
      <c r="I37" s="3"/>
      <c r="J37" s="3"/>
      <c r="K37" s="4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</row>
    <row r="38" spans="1:37" ht="15.75" customHeight="1">
      <c r="A38" s="77">
        <v>38</v>
      </c>
      <c r="B38" s="45" t="s">
        <v>145</v>
      </c>
      <c r="C38" s="112" t="s">
        <v>146</v>
      </c>
      <c r="D38" s="82"/>
      <c r="E38" s="91" t="s">
        <v>7</v>
      </c>
      <c r="F38" s="83"/>
      <c r="G38" s="3"/>
      <c r="H38" s="3"/>
      <c r="I38" s="3"/>
      <c r="J38" s="3"/>
      <c r="K38" s="4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</row>
    <row r="39" spans="1:37" ht="15.75" customHeight="1">
      <c r="A39" s="77">
        <v>39</v>
      </c>
      <c r="B39" s="97" t="s">
        <v>147</v>
      </c>
      <c r="C39" s="113" t="s">
        <v>148</v>
      </c>
      <c r="D39" s="82"/>
      <c r="E39" s="91" t="s">
        <v>7</v>
      </c>
      <c r="F39" s="83"/>
      <c r="G39" s="3"/>
      <c r="H39" s="3"/>
      <c r="I39" s="3"/>
      <c r="J39" s="3"/>
      <c r="K39" s="4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</row>
    <row r="40" spans="1:37" ht="15.75" customHeight="1">
      <c r="A40" s="77">
        <v>41</v>
      </c>
      <c r="B40" s="45" t="s">
        <v>149</v>
      </c>
      <c r="C40" s="112" t="s">
        <v>150</v>
      </c>
      <c r="D40" s="82"/>
      <c r="E40" s="91" t="s">
        <v>7</v>
      </c>
      <c r="F40" s="83"/>
      <c r="G40" s="3"/>
      <c r="H40" s="3"/>
      <c r="I40" s="3"/>
      <c r="J40" s="3"/>
      <c r="K40" s="4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</row>
    <row r="41" spans="1:37" ht="15.75" customHeight="1">
      <c r="A41" s="77">
        <v>42</v>
      </c>
      <c r="B41" s="97" t="s">
        <v>151</v>
      </c>
      <c r="C41" s="113" t="s">
        <v>152</v>
      </c>
      <c r="D41" s="82"/>
      <c r="E41" s="91" t="s">
        <v>17</v>
      </c>
      <c r="F41" s="83"/>
      <c r="G41" s="3"/>
      <c r="H41" s="3"/>
      <c r="I41" s="3"/>
      <c r="J41" s="3"/>
      <c r="K41" s="4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</row>
    <row r="42" spans="1:37" ht="15.75" customHeight="1">
      <c r="A42" s="77">
        <v>43</v>
      </c>
      <c r="B42" s="97" t="s">
        <v>153</v>
      </c>
      <c r="C42" s="114" t="s">
        <v>154</v>
      </c>
      <c r="D42" s="82"/>
      <c r="E42" s="91" t="s">
        <v>17</v>
      </c>
      <c r="F42" s="83"/>
      <c r="G42" s="3"/>
      <c r="H42" s="3"/>
      <c r="I42" s="3"/>
      <c r="J42" s="3"/>
      <c r="K42" s="4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</row>
    <row r="43" spans="1:37" ht="15.75" customHeight="1">
      <c r="A43" s="77">
        <v>44</v>
      </c>
      <c r="B43" s="45" t="s">
        <v>155</v>
      </c>
      <c r="C43" s="112" t="s">
        <v>156</v>
      </c>
      <c r="D43" s="82"/>
      <c r="E43" s="91" t="s">
        <v>17</v>
      </c>
      <c r="F43" s="83"/>
      <c r="G43" s="3"/>
      <c r="H43" s="3"/>
      <c r="I43" s="3"/>
      <c r="J43" s="3"/>
      <c r="K43" s="4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</row>
    <row r="44" spans="1:37" ht="15.75" customHeight="1">
      <c r="A44" s="77">
        <v>45</v>
      </c>
      <c r="B44" s="97" t="s">
        <v>157</v>
      </c>
      <c r="C44" s="98" t="s">
        <v>158</v>
      </c>
      <c r="D44" s="27"/>
      <c r="E44" s="75" t="s">
        <v>17</v>
      </c>
      <c r="F44" s="115"/>
      <c r="G44" s="3"/>
      <c r="H44" s="3"/>
      <c r="I44" s="3"/>
      <c r="J44" s="3"/>
      <c r="K44" s="101"/>
      <c r="L44" s="102"/>
      <c r="M44" s="102"/>
      <c r="N44" s="10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</row>
    <row r="45" spans="1:37" ht="15.75" customHeight="1">
      <c r="A45" s="77">
        <v>46</v>
      </c>
      <c r="B45" s="116" t="s">
        <v>159</v>
      </c>
      <c r="C45" s="116" t="s">
        <v>160</v>
      </c>
      <c r="D45" s="27"/>
      <c r="E45" s="75" t="s">
        <v>7</v>
      </c>
      <c r="F45" s="115"/>
      <c r="G45" s="26"/>
      <c r="H45" s="26"/>
      <c r="I45" s="26"/>
      <c r="J45" s="26"/>
      <c r="K45" s="117"/>
      <c r="L45" s="118"/>
      <c r="M45" s="118"/>
      <c r="N45" s="118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</row>
    <row r="46" spans="1:37" ht="15.75" customHeight="1">
      <c r="A46" s="77">
        <v>47</v>
      </c>
      <c r="B46" s="97" t="s">
        <v>161</v>
      </c>
      <c r="C46" s="98" t="s">
        <v>162</v>
      </c>
      <c r="D46" s="27"/>
      <c r="E46" s="75" t="s">
        <v>17</v>
      </c>
      <c r="F46" s="115"/>
      <c r="G46" s="26"/>
      <c r="H46" s="26"/>
      <c r="I46" s="26"/>
      <c r="J46" s="26"/>
      <c r="K46" s="117"/>
      <c r="L46" s="118"/>
      <c r="M46" s="118"/>
      <c r="N46" s="118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</row>
    <row r="47" spans="1:37" ht="15.75" customHeight="1">
      <c r="A47" s="77">
        <v>48</v>
      </c>
      <c r="B47" s="120" t="s">
        <v>163</v>
      </c>
      <c r="C47" s="121" t="s">
        <v>164</v>
      </c>
      <c r="D47" s="27"/>
      <c r="E47" s="75" t="s">
        <v>7</v>
      </c>
      <c r="F47" s="115"/>
      <c r="G47" s="26"/>
      <c r="H47" s="26"/>
      <c r="I47" s="26"/>
      <c r="J47" s="26"/>
      <c r="K47" s="117"/>
      <c r="L47" s="118"/>
      <c r="M47" s="118"/>
      <c r="N47" s="118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</row>
    <row r="48" spans="1:37" ht="15.75" customHeight="1">
      <c r="A48" s="77">
        <v>49</v>
      </c>
      <c r="B48" s="45" t="s">
        <v>165</v>
      </c>
      <c r="C48" s="45" t="s">
        <v>166</v>
      </c>
      <c r="D48" s="27"/>
      <c r="E48" s="75" t="s">
        <v>7</v>
      </c>
      <c r="F48" s="115"/>
      <c r="G48" s="26"/>
      <c r="H48" s="26"/>
      <c r="I48" s="26"/>
      <c r="J48" s="26"/>
      <c r="K48" s="117"/>
      <c r="L48" s="118"/>
      <c r="M48" s="118"/>
      <c r="N48" s="118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</row>
    <row r="49" spans="1:37" ht="15.75" customHeight="1">
      <c r="A49" s="77">
        <v>50</v>
      </c>
      <c r="B49" s="44" t="s">
        <v>167</v>
      </c>
      <c r="C49" s="45" t="s">
        <v>168</v>
      </c>
      <c r="D49" s="27"/>
      <c r="E49" s="75" t="s">
        <v>7</v>
      </c>
      <c r="F49" s="115"/>
      <c r="G49" s="26"/>
      <c r="H49" s="26"/>
      <c r="I49" s="26"/>
      <c r="J49" s="26"/>
      <c r="K49" s="117"/>
      <c r="L49" s="118"/>
      <c r="M49" s="118"/>
      <c r="N49" s="118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</row>
    <row r="50" spans="1:37" ht="15.75" customHeight="1">
      <c r="A50" s="77">
        <v>51</v>
      </c>
      <c r="B50" s="122" t="s">
        <v>169</v>
      </c>
      <c r="C50" s="120" t="s">
        <v>170</v>
      </c>
      <c r="D50" s="27"/>
      <c r="E50" s="75" t="s">
        <v>17</v>
      </c>
      <c r="F50" s="115"/>
      <c r="G50" s="26"/>
      <c r="H50" s="26"/>
      <c r="I50" s="26"/>
      <c r="J50" s="26"/>
      <c r="K50" s="117"/>
      <c r="L50" s="118"/>
      <c r="M50" s="118"/>
      <c r="N50" s="118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</row>
    <row r="51" spans="1:37" ht="15.75" customHeight="1">
      <c r="A51" s="77">
        <v>52</v>
      </c>
      <c r="B51" s="122" t="s">
        <v>171</v>
      </c>
      <c r="C51" s="120" t="s">
        <v>172</v>
      </c>
      <c r="D51" s="27"/>
      <c r="E51" s="75" t="s">
        <v>17</v>
      </c>
      <c r="F51" s="115"/>
      <c r="G51" s="26"/>
      <c r="H51" s="26"/>
      <c r="I51" s="26"/>
      <c r="J51" s="26"/>
      <c r="K51" s="117"/>
      <c r="L51" s="118"/>
      <c r="M51" s="118"/>
      <c r="N51" s="118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</row>
    <row r="52" spans="1:37" ht="15.75" customHeight="1">
      <c r="A52" s="123">
        <v>53</v>
      </c>
      <c r="B52" s="124" t="s">
        <v>173</v>
      </c>
      <c r="C52" s="125" t="s">
        <v>174</v>
      </c>
      <c r="D52" s="126"/>
      <c r="E52" s="127" t="s">
        <v>78</v>
      </c>
      <c r="F52" s="128"/>
      <c r="G52" s="129"/>
      <c r="H52" s="129"/>
      <c r="I52" s="129"/>
      <c r="J52" s="129"/>
      <c r="K52" s="130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</row>
    <row r="53" spans="1:37" ht="15.75" customHeight="1">
      <c r="A53" s="132"/>
      <c r="B53" s="50"/>
      <c r="C53" s="50"/>
      <c r="D53" s="50"/>
      <c r="E53" s="133"/>
      <c r="F53" s="134"/>
      <c r="G53" s="3"/>
      <c r="H53" s="3"/>
      <c r="I53" s="3"/>
      <c r="J53" s="3"/>
      <c r="K53" s="101"/>
      <c r="L53" s="102"/>
      <c r="M53" s="102"/>
      <c r="N53" s="10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</row>
    <row r="54" spans="1:37" ht="15.75" customHeight="1">
      <c r="A54" s="46"/>
      <c r="B54" s="135" t="s">
        <v>175</v>
      </c>
      <c r="C54" s="136" t="s">
        <v>176</v>
      </c>
      <c r="D54" s="137"/>
      <c r="E54" s="138"/>
      <c r="F54" s="139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37" ht="15.75" customHeight="1">
      <c r="A55" s="46"/>
      <c r="B55" s="140" t="s">
        <v>177</v>
      </c>
      <c r="C55" s="141"/>
      <c r="D55" s="142" t="s">
        <v>35</v>
      </c>
      <c r="E55" s="138"/>
      <c r="F55" s="139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37" ht="15.75" customHeight="1">
      <c r="A56" s="46"/>
      <c r="B56" s="50" t="s">
        <v>178</v>
      </c>
      <c r="C56" s="143">
        <v>2</v>
      </c>
      <c r="D56" s="27" t="s">
        <v>36</v>
      </c>
      <c r="E56" s="27">
        <f>COUNTIF(E2:E44, "C")</f>
        <v>5</v>
      </c>
      <c r="F56" s="4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37" ht="15.75" customHeight="1">
      <c r="A57" s="46"/>
      <c r="B57" s="50" t="s">
        <v>37</v>
      </c>
      <c r="C57" s="143"/>
      <c r="D57" s="27" t="s">
        <v>37</v>
      </c>
      <c r="E57" s="27">
        <f>COUNTIF(E2:E51, "H")</f>
        <v>11</v>
      </c>
      <c r="F57" s="4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37" ht="15.75" customHeight="1">
      <c r="A58" s="46"/>
      <c r="B58" s="50" t="s">
        <v>38</v>
      </c>
      <c r="C58" s="143"/>
      <c r="D58" s="27" t="s">
        <v>38</v>
      </c>
      <c r="E58" s="27">
        <f>COUNTIF(E2:E54, "M")</f>
        <v>32</v>
      </c>
      <c r="F58" s="4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37" ht="15.75" customHeight="1">
      <c r="A59" s="46"/>
      <c r="B59" s="50" t="s">
        <v>179</v>
      </c>
      <c r="C59" s="143">
        <v>2</v>
      </c>
      <c r="D59" s="27" t="s">
        <v>39</v>
      </c>
      <c r="E59" s="27">
        <f>COUNTIF(E2:E44, "Coord")</f>
        <v>2</v>
      </c>
      <c r="F59" s="4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37" ht="15.75" customHeight="1">
      <c r="A60" s="46"/>
      <c r="B60" s="50" t="s">
        <v>180</v>
      </c>
      <c r="C60" s="143">
        <v>30</v>
      </c>
      <c r="D60" s="27" t="s">
        <v>40</v>
      </c>
      <c r="E60" s="27">
        <f>SUM(E56:E59)</f>
        <v>50</v>
      </c>
      <c r="F60" s="4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37" ht="15.75" customHeight="1">
      <c r="A61" s="3"/>
      <c r="B61" s="50"/>
      <c r="C61" s="50"/>
      <c r="D61" s="144"/>
      <c r="E61" s="144"/>
      <c r="F61" s="14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37" ht="15.75" customHeight="1">
      <c r="A62" s="3"/>
      <c r="B62" s="50"/>
      <c r="C62" s="143"/>
      <c r="D62" s="133"/>
      <c r="E62" s="1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37" ht="15.75" customHeight="1">
      <c r="A63" s="3"/>
      <c r="B63" s="50"/>
      <c r="C63" s="143"/>
      <c r="D63" s="133"/>
      <c r="E63" s="1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37" ht="15.75" customHeight="1">
      <c r="A64" s="3"/>
      <c r="B64" s="50"/>
      <c r="C64" s="143"/>
      <c r="D64" s="133"/>
      <c r="E64" s="1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146"/>
      <c r="C65" s="143"/>
      <c r="D65" s="133"/>
      <c r="E65" s="1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146"/>
      <c r="C66" s="143"/>
      <c r="D66" s="133"/>
      <c r="E66" s="1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50"/>
      <c r="C67" s="143"/>
      <c r="D67" s="133"/>
      <c r="E67" s="1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147"/>
      <c r="C68" s="143"/>
      <c r="D68" s="133"/>
      <c r="E68" s="1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147"/>
      <c r="C69" s="143"/>
      <c r="D69" s="133"/>
      <c r="E69" s="1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50"/>
      <c r="C70" s="143"/>
      <c r="D70" s="133"/>
      <c r="E70" s="1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50"/>
      <c r="C71" s="143"/>
      <c r="D71" s="133"/>
      <c r="E71" s="1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50"/>
      <c r="C72" s="143"/>
      <c r="D72" s="133"/>
      <c r="E72" s="1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50"/>
      <c r="C73" s="143"/>
      <c r="D73" s="133"/>
      <c r="E73" s="1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50"/>
      <c r="C74" s="143"/>
      <c r="D74" s="50"/>
      <c r="E74" s="1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50"/>
      <c r="C75" s="143"/>
      <c r="D75" s="50"/>
      <c r="E75" s="1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50"/>
      <c r="C76" s="143"/>
      <c r="D76" s="50"/>
      <c r="E76" s="1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50"/>
      <c r="C77" s="143"/>
      <c r="D77" s="50"/>
      <c r="E77" s="1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50"/>
      <c r="C78" s="143"/>
      <c r="D78" s="50"/>
      <c r="E78" s="1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50"/>
      <c r="C79" s="143"/>
      <c r="D79" s="50"/>
      <c r="E79" s="1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50"/>
      <c r="C80" s="143"/>
      <c r="D80" s="50"/>
      <c r="E80" s="1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50"/>
      <c r="C81" s="143"/>
      <c r="D81" s="50"/>
      <c r="E81" s="1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50"/>
      <c r="C82" s="143"/>
      <c r="D82" s="50"/>
      <c r="E82" s="1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50"/>
      <c r="C83" s="143"/>
      <c r="D83" s="50"/>
      <c r="E83" s="1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50"/>
      <c r="C84" s="143"/>
      <c r="D84" s="50"/>
      <c r="E84" s="1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50"/>
      <c r="C85" s="143"/>
      <c r="D85" s="50"/>
      <c r="E85" s="1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50"/>
      <c r="C86" s="143"/>
      <c r="D86" s="50"/>
      <c r="E86" s="1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50"/>
      <c r="C87" s="143"/>
      <c r="D87" s="50"/>
      <c r="E87" s="1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50"/>
      <c r="C88" s="143"/>
      <c r="D88" s="50"/>
      <c r="E88" s="1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50"/>
      <c r="C89" s="143"/>
      <c r="D89" s="50"/>
      <c r="E89" s="1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50"/>
      <c r="C90" s="143"/>
      <c r="D90" s="50"/>
      <c r="E90" s="1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50"/>
      <c r="C91" s="143"/>
      <c r="D91" s="50"/>
      <c r="E91" s="1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50"/>
      <c r="C92" s="143"/>
      <c r="D92" s="50"/>
      <c r="E92" s="1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50"/>
      <c r="C93" s="143"/>
      <c r="D93" s="50"/>
      <c r="E93" s="1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50"/>
      <c r="C94" s="143"/>
      <c r="D94" s="50"/>
      <c r="E94" s="1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50"/>
      <c r="C95" s="143"/>
      <c r="D95" s="50"/>
      <c r="E95" s="1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50"/>
      <c r="C96" s="143"/>
      <c r="D96" s="50"/>
      <c r="E96" s="1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50"/>
      <c r="C97" s="143"/>
      <c r="D97" s="50"/>
      <c r="E97" s="1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50"/>
      <c r="C98" s="143"/>
      <c r="D98" s="50"/>
      <c r="E98" s="1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50"/>
      <c r="C99" s="143"/>
      <c r="D99" s="50"/>
      <c r="E99" s="1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50"/>
      <c r="C100" s="143"/>
      <c r="D100" s="50"/>
      <c r="E100" s="1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50"/>
      <c r="C101" s="143"/>
      <c r="D101" s="50"/>
      <c r="E101" s="1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50"/>
      <c r="C102" s="143"/>
      <c r="D102" s="50"/>
      <c r="E102" s="1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50"/>
      <c r="C103" s="143"/>
      <c r="D103" s="50"/>
      <c r="E103" s="1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50"/>
      <c r="C104" s="143"/>
      <c r="D104" s="50"/>
      <c r="E104" s="1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50"/>
      <c r="C105" s="143"/>
      <c r="D105" s="50"/>
      <c r="E105" s="1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50"/>
      <c r="C106" s="143"/>
      <c r="D106" s="50"/>
      <c r="E106" s="1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50"/>
      <c r="C107" s="143"/>
      <c r="D107" s="50"/>
      <c r="E107" s="1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50"/>
      <c r="C108" s="143"/>
      <c r="D108" s="50"/>
      <c r="E108" s="1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50"/>
      <c r="C109" s="143"/>
      <c r="D109" s="50"/>
      <c r="E109" s="1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50"/>
      <c r="C110" s="143"/>
      <c r="D110" s="50"/>
      <c r="E110" s="1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50"/>
      <c r="C111" s="143"/>
      <c r="D111" s="50"/>
      <c r="E111" s="1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50"/>
      <c r="C112" s="143"/>
      <c r="D112" s="50"/>
      <c r="E112" s="1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50"/>
      <c r="C113" s="143"/>
      <c r="D113" s="50"/>
      <c r="E113" s="1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50"/>
      <c r="C114" s="143"/>
      <c r="D114" s="50"/>
      <c r="E114" s="1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50"/>
      <c r="C115" s="143"/>
      <c r="D115" s="50"/>
      <c r="E115" s="1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50"/>
      <c r="C116" s="143"/>
      <c r="D116" s="50"/>
      <c r="E116" s="1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50"/>
      <c r="C117" s="143"/>
      <c r="D117" s="50"/>
      <c r="E117" s="1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50"/>
      <c r="C118" s="143"/>
      <c r="D118" s="50"/>
      <c r="E118" s="1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50"/>
      <c r="C119" s="143"/>
      <c r="D119" s="50"/>
      <c r="E119" s="1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50"/>
      <c r="C120" s="143"/>
      <c r="D120" s="50"/>
      <c r="E120" s="1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50"/>
      <c r="C121" s="143"/>
      <c r="D121" s="50"/>
      <c r="E121" s="1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50"/>
      <c r="C122" s="143"/>
      <c r="D122" s="50"/>
      <c r="E122" s="1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50"/>
      <c r="C123" s="143"/>
      <c r="D123" s="50"/>
      <c r="E123" s="1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50"/>
      <c r="C124" s="143"/>
      <c r="D124" s="50"/>
      <c r="E124" s="1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50"/>
      <c r="C125" s="143"/>
      <c r="D125" s="50"/>
      <c r="E125" s="1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50"/>
      <c r="C126" s="143"/>
      <c r="D126" s="50"/>
      <c r="E126" s="1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50"/>
      <c r="C127" s="143"/>
      <c r="D127" s="50"/>
      <c r="E127" s="1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50"/>
      <c r="C128" s="143"/>
      <c r="D128" s="50"/>
      <c r="E128" s="1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50"/>
      <c r="C129" s="143"/>
      <c r="D129" s="50"/>
      <c r="E129" s="1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50"/>
      <c r="C130" s="143"/>
      <c r="D130" s="50"/>
      <c r="E130" s="1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50"/>
      <c r="C131" s="143"/>
      <c r="D131" s="50"/>
      <c r="E131" s="1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50"/>
      <c r="C132" s="143"/>
      <c r="D132" s="50"/>
      <c r="E132" s="1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50"/>
      <c r="C133" s="143"/>
      <c r="D133" s="50"/>
      <c r="E133" s="1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50"/>
      <c r="C134" s="143"/>
      <c r="D134" s="50"/>
      <c r="E134" s="1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50"/>
      <c r="C135" s="143"/>
      <c r="D135" s="50"/>
      <c r="E135" s="1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50"/>
      <c r="C136" s="143"/>
      <c r="D136" s="50"/>
      <c r="E136" s="1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50"/>
      <c r="C137" s="143"/>
      <c r="D137" s="50"/>
      <c r="E137" s="1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50"/>
      <c r="C138" s="143"/>
      <c r="D138" s="50"/>
      <c r="E138" s="1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50"/>
      <c r="C139" s="143"/>
      <c r="D139" s="50"/>
      <c r="E139" s="1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50"/>
      <c r="C140" s="143"/>
      <c r="D140" s="50"/>
      <c r="E140" s="1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50"/>
      <c r="C141" s="143"/>
      <c r="D141" s="50"/>
      <c r="E141" s="1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50"/>
      <c r="C142" s="143"/>
      <c r="D142" s="50"/>
      <c r="E142" s="1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50"/>
      <c r="C143" s="143"/>
      <c r="D143" s="50"/>
      <c r="E143" s="1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50"/>
      <c r="C144" s="143"/>
      <c r="D144" s="50"/>
      <c r="E144" s="1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50"/>
      <c r="C145" s="143"/>
      <c r="D145" s="50"/>
      <c r="E145" s="1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50"/>
      <c r="C146" s="143"/>
      <c r="D146" s="50"/>
      <c r="E146" s="1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50"/>
      <c r="C147" s="143"/>
      <c r="D147" s="50"/>
      <c r="E147" s="1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50"/>
      <c r="C148" s="143"/>
      <c r="D148" s="50"/>
      <c r="E148" s="1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50"/>
      <c r="C149" s="143"/>
      <c r="D149" s="50"/>
      <c r="E149" s="1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50"/>
      <c r="C150" s="143"/>
      <c r="D150" s="50"/>
      <c r="E150" s="1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50"/>
      <c r="C151" s="143"/>
      <c r="D151" s="50"/>
      <c r="E151" s="1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50"/>
      <c r="C152" s="143"/>
      <c r="D152" s="50"/>
      <c r="E152" s="1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50"/>
      <c r="C153" s="143"/>
      <c r="D153" s="50"/>
      <c r="E153" s="1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50"/>
      <c r="C154" s="143"/>
      <c r="D154" s="50"/>
      <c r="E154" s="1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50"/>
      <c r="C155" s="143"/>
      <c r="D155" s="50"/>
      <c r="E155" s="1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50"/>
      <c r="C156" s="143"/>
      <c r="D156" s="50"/>
      <c r="E156" s="1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50"/>
      <c r="C157" s="143"/>
      <c r="D157" s="50"/>
      <c r="E157" s="1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50"/>
      <c r="C158" s="143"/>
      <c r="D158" s="50"/>
      <c r="E158" s="1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50"/>
      <c r="C159" s="143"/>
      <c r="D159" s="50"/>
      <c r="E159" s="1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50"/>
      <c r="C160" s="143"/>
      <c r="D160" s="50"/>
      <c r="E160" s="1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50"/>
      <c r="C161" s="143"/>
      <c r="D161" s="50"/>
      <c r="E161" s="1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50"/>
      <c r="C162" s="143"/>
      <c r="D162" s="50"/>
      <c r="E162" s="1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50"/>
      <c r="C163" s="143"/>
      <c r="D163" s="50"/>
      <c r="E163" s="1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50"/>
      <c r="C164" s="143"/>
      <c r="D164" s="50"/>
      <c r="E164" s="1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50"/>
      <c r="C165" s="143"/>
      <c r="D165" s="50"/>
      <c r="E165" s="1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50"/>
      <c r="C166" s="143"/>
      <c r="D166" s="50"/>
      <c r="E166" s="1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50"/>
      <c r="C167" s="143"/>
      <c r="D167" s="50"/>
      <c r="E167" s="1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50"/>
      <c r="C168" s="143"/>
      <c r="D168" s="50"/>
      <c r="E168" s="1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50"/>
      <c r="C169" s="143"/>
      <c r="D169" s="50"/>
      <c r="E169" s="1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50"/>
      <c r="C170" s="143"/>
      <c r="D170" s="50"/>
      <c r="E170" s="1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50"/>
      <c r="C171" s="143"/>
      <c r="D171" s="50"/>
      <c r="E171" s="1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50"/>
      <c r="C172" s="143"/>
      <c r="D172" s="50"/>
      <c r="E172" s="1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50"/>
      <c r="C173" s="143"/>
      <c r="D173" s="50"/>
      <c r="E173" s="1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50"/>
      <c r="C174" s="143"/>
      <c r="D174" s="50"/>
      <c r="E174" s="1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50"/>
      <c r="C175" s="143"/>
      <c r="D175" s="50"/>
      <c r="E175" s="1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50"/>
      <c r="C176" s="143"/>
      <c r="D176" s="50"/>
      <c r="E176" s="1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50"/>
      <c r="C177" s="143"/>
      <c r="D177" s="50"/>
      <c r="E177" s="1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50"/>
      <c r="C178" s="143"/>
      <c r="D178" s="50"/>
      <c r="E178" s="1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50"/>
      <c r="C179" s="143"/>
      <c r="D179" s="50"/>
      <c r="E179" s="1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50"/>
      <c r="C180" s="143"/>
      <c r="D180" s="50"/>
      <c r="E180" s="1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50"/>
      <c r="C181" s="143"/>
      <c r="D181" s="50"/>
      <c r="E181" s="1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50"/>
      <c r="C182" s="143"/>
      <c r="D182" s="50"/>
      <c r="E182" s="1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50"/>
      <c r="C183" s="143"/>
      <c r="D183" s="50"/>
      <c r="E183" s="1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50"/>
      <c r="C184" s="143"/>
      <c r="D184" s="50"/>
      <c r="E184" s="1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50"/>
      <c r="C185" s="143"/>
      <c r="D185" s="50"/>
      <c r="E185" s="1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50"/>
      <c r="C186" s="143"/>
      <c r="D186" s="50"/>
      <c r="E186" s="1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50"/>
      <c r="C187" s="143"/>
      <c r="D187" s="50"/>
      <c r="E187" s="1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50"/>
      <c r="C188" s="143"/>
      <c r="D188" s="50"/>
      <c r="E188" s="1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50"/>
      <c r="C189" s="143"/>
      <c r="D189" s="50"/>
      <c r="E189" s="1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50"/>
      <c r="C190" s="143"/>
      <c r="D190" s="50"/>
      <c r="E190" s="1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50"/>
      <c r="C191" s="143"/>
      <c r="D191" s="50"/>
      <c r="E191" s="1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50"/>
      <c r="C192" s="143"/>
      <c r="D192" s="50"/>
      <c r="E192" s="1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50"/>
      <c r="C193" s="143"/>
      <c r="D193" s="50"/>
      <c r="E193" s="1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50"/>
      <c r="C194" s="143"/>
      <c r="D194" s="50"/>
      <c r="E194" s="1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50"/>
      <c r="C195" s="143"/>
      <c r="D195" s="50"/>
      <c r="E195" s="1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50"/>
      <c r="C196" s="143"/>
      <c r="D196" s="50"/>
      <c r="E196" s="1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50"/>
      <c r="C197" s="143"/>
      <c r="D197" s="50"/>
      <c r="E197" s="1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50"/>
      <c r="C198" s="143"/>
      <c r="D198" s="50"/>
      <c r="E198" s="1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50"/>
      <c r="C199" s="143"/>
      <c r="D199" s="50"/>
      <c r="E199" s="1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50"/>
      <c r="C200" s="143"/>
      <c r="D200" s="50"/>
      <c r="E200" s="1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50"/>
      <c r="C201" s="143"/>
      <c r="D201" s="50"/>
      <c r="E201" s="1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50"/>
      <c r="C202" s="143"/>
      <c r="D202" s="50"/>
      <c r="E202" s="1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50"/>
      <c r="C203" s="143"/>
      <c r="D203" s="50"/>
      <c r="E203" s="1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50"/>
      <c r="C204" s="143"/>
      <c r="D204" s="50"/>
      <c r="E204" s="1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50"/>
      <c r="C205" s="143"/>
      <c r="D205" s="50"/>
      <c r="E205" s="1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50"/>
      <c r="C206" s="143"/>
      <c r="D206" s="50"/>
      <c r="E206" s="1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50"/>
      <c r="C207" s="143"/>
      <c r="D207" s="50"/>
      <c r="E207" s="1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50"/>
      <c r="C208" s="143"/>
      <c r="D208" s="50"/>
      <c r="E208" s="1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50"/>
      <c r="C209" s="143"/>
      <c r="D209" s="50"/>
      <c r="E209" s="1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50"/>
      <c r="C210" s="143"/>
      <c r="D210" s="50"/>
      <c r="E210" s="1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50"/>
      <c r="C211" s="143"/>
      <c r="D211" s="50"/>
      <c r="E211" s="1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50"/>
      <c r="C212" s="143"/>
      <c r="D212" s="50"/>
      <c r="E212" s="1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50"/>
      <c r="C213" s="143"/>
      <c r="D213" s="50"/>
      <c r="E213" s="1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50"/>
      <c r="C214" s="143"/>
      <c r="D214" s="50"/>
      <c r="E214" s="1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50"/>
      <c r="C215" s="143"/>
      <c r="D215" s="50"/>
      <c r="E215" s="1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50"/>
      <c r="C216" s="143"/>
      <c r="D216" s="50"/>
      <c r="E216" s="1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50"/>
      <c r="C217" s="143"/>
      <c r="D217" s="50"/>
      <c r="E217" s="1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50"/>
      <c r="C218" s="143"/>
      <c r="D218" s="50"/>
      <c r="E218" s="1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50"/>
      <c r="C219" s="143"/>
      <c r="D219" s="50"/>
      <c r="E219" s="1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50"/>
      <c r="C220" s="143"/>
      <c r="D220" s="50"/>
      <c r="E220" s="1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50"/>
      <c r="C221" s="143"/>
      <c r="D221" s="50"/>
      <c r="E221" s="1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50"/>
      <c r="C222" s="143"/>
      <c r="D222" s="50"/>
      <c r="E222" s="1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50"/>
      <c r="C223" s="143"/>
      <c r="D223" s="50"/>
      <c r="E223" s="1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50"/>
      <c r="C224" s="143"/>
      <c r="D224" s="50"/>
      <c r="E224" s="1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50"/>
      <c r="C225" s="143"/>
      <c r="D225" s="50"/>
      <c r="E225" s="1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50"/>
      <c r="C226" s="143"/>
      <c r="D226" s="50"/>
      <c r="E226" s="1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50"/>
      <c r="C227" s="143"/>
      <c r="D227" s="50"/>
      <c r="E227" s="1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50"/>
      <c r="C228" s="143"/>
      <c r="D228" s="50"/>
      <c r="E228" s="1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50"/>
      <c r="C229" s="143"/>
      <c r="D229" s="50"/>
      <c r="E229" s="1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50"/>
      <c r="C230" s="143"/>
      <c r="D230" s="50"/>
      <c r="E230" s="1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50"/>
      <c r="C231" s="143"/>
      <c r="D231" s="50"/>
      <c r="E231" s="1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50"/>
      <c r="C232" s="143"/>
      <c r="D232" s="50"/>
      <c r="E232" s="1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50"/>
      <c r="C233" s="143"/>
      <c r="D233" s="50"/>
      <c r="E233" s="1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50"/>
      <c r="C234" s="143"/>
      <c r="D234" s="50"/>
      <c r="E234" s="1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50"/>
      <c r="C235" s="143"/>
      <c r="D235" s="50"/>
      <c r="E235" s="1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50"/>
      <c r="C236" s="143"/>
      <c r="D236" s="50"/>
      <c r="E236" s="1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50"/>
      <c r="C237" s="143"/>
      <c r="D237" s="50"/>
      <c r="E237" s="1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50"/>
      <c r="C238" s="143"/>
      <c r="D238" s="50"/>
      <c r="E238" s="11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50"/>
      <c r="C239" s="143"/>
      <c r="D239" s="50"/>
      <c r="E239" s="11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50"/>
      <c r="C240" s="143"/>
      <c r="D240" s="50"/>
      <c r="E240" s="11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50"/>
      <c r="C241" s="143"/>
      <c r="D241" s="50"/>
      <c r="E241" s="11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50"/>
      <c r="C242" s="143"/>
      <c r="D242" s="50"/>
      <c r="E242" s="11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50"/>
      <c r="C243" s="143"/>
      <c r="D243" s="50"/>
      <c r="E243" s="11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50"/>
      <c r="C244" s="143"/>
      <c r="D244" s="50"/>
      <c r="E244" s="11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50"/>
      <c r="C245" s="143"/>
      <c r="D245" s="50"/>
      <c r="E245" s="11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50"/>
      <c r="C246" s="143"/>
      <c r="D246" s="50"/>
      <c r="E246" s="11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50"/>
      <c r="C247" s="143"/>
      <c r="D247" s="50"/>
      <c r="E247" s="11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50"/>
      <c r="C248" s="143"/>
      <c r="D248" s="50"/>
      <c r="E248" s="11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50"/>
      <c r="C249" s="143"/>
      <c r="D249" s="50"/>
      <c r="E249" s="11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50"/>
      <c r="C250" s="143"/>
      <c r="D250" s="50"/>
      <c r="E250" s="11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50"/>
      <c r="C251" s="143"/>
      <c r="D251" s="50"/>
      <c r="E251" s="11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50"/>
      <c r="C252" s="143"/>
      <c r="D252" s="50"/>
      <c r="E252" s="11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50"/>
      <c r="C253" s="143"/>
      <c r="D253" s="50"/>
      <c r="E253" s="11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50"/>
      <c r="C254" s="143"/>
      <c r="D254" s="50"/>
      <c r="E254" s="1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50"/>
      <c r="C255" s="143"/>
      <c r="D255" s="50"/>
      <c r="E255" s="1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50"/>
      <c r="C256" s="143"/>
      <c r="D256" s="50"/>
      <c r="E256" s="1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50"/>
      <c r="C257" s="143"/>
      <c r="D257" s="50"/>
      <c r="E257" s="1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50"/>
      <c r="C258" s="143"/>
      <c r="D258" s="50"/>
      <c r="E258" s="1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50"/>
      <c r="C259" s="143"/>
      <c r="D259" s="50"/>
      <c r="E259" s="1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50"/>
      <c r="C260" s="143"/>
      <c r="D260" s="50"/>
      <c r="E260" s="11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E261" s="18"/>
    </row>
    <row r="262" spans="1:26" ht="15.75" customHeight="1">
      <c r="E262" s="18"/>
    </row>
    <row r="263" spans="1:26" ht="15.75" customHeight="1">
      <c r="E263" s="18"/>
    </row>
    <row r="264" spans="1:26" ht="15.75" customHeight="1">
      <c r="E264" s="18"/>
    </row>
    <row r="265" spans="1:26" ht="15.75" customHeight="1">
      <c r="E265" s="18"/>
    </row>
    <row r="266" spans="1:26" ht="15.75" customHeight="1">
      <c r="E266" s="18"/>
    </row>
    <row r="267" spans="1:26" ht="15.75" customHeight="1">
      <c r="E267" s="18"/>
    </row>
    <row r="268" spans="1:26" ht="15.75" customHeight="1">
      <c r="E268" s="18"/>
    </row>
    <row r="269" spans="1:26" ht="15.75" customHeight="1">
      <c r="E269" s="18"/>
    </row>
    <row r="270" spans="1:26" ht="15.75" customHeight="1">
      <c r="E270" s="18"/>
    </row>
    <row r="271" spans="1:26" ht="15.75" customHeight="1">
      <c r="E271" s="18"/>
    </row>
    <row r="272" spans="1:26" ht="15.75" customHeight="1">
      <c r="E272" s="18"/>
    </row>
    <row r="273" spans="5:5" ht="15.75" customHeight="1">
      <c r="E273" s="18"/>
    </row>
    <row r="274" spans="5:5" ht="15.75" customHeight="1">
      <c r="E274" s="18"/>
    </row>
    <row r="275" spans="5:5" ht="15.75" customHeight="1">
      <c r="E275" s="18"/>
    </row>
    <row r="276" spans="5:5" ht="15.75" customHeight="1">
      <c r="E276" s="18"/>
    </row>
    <row r="277" spans="5:5" ht="15.75" customHeight="1">
      <c r="E277" s="18"/>
    </row>
    <row r="278" spans="5:5" ht="15.75" customHeight="1">
      <c r="E278" s="18"/>
    </row>
    <row r="279" spans="5:5" ht="15.75" customHeight="1">
      <c r="E279" s="18"/>
    </row>
    <row r="280" spans="5:5" ht="15.75" customHeight="1">
      <c r="E280" s="18"/>
    </row>
    <row r="281" spans="5:5" ht="15.75" customHeight="1">
      <c r="E281" s="18"/>
    </row>
    <row r="282" spans="5:5" ht="15.75" customHeight="1">
      <c r="E282" s="18"/>
    </row>
    <row r="283" spans="5:5" ht="15.75" customHeight="1">
      <c r="E283" s="18"/>
    </row>
    <row r="284" spans="5:5" ht="15.75" customHeight="1">
      <c r="E284" s="18"/>
    </row>
    <row r="285" spans="5:5" ht="15.75" customHeight="1">
      <c r="E285" s="18"/>
    </row>
    <row r="286" spans="5:5" ht="15.75" customHeight="1">
      <c r="E286" s="18"/>
    </row>
    <row r="287" spans="5:5" ht="15.75" customHeight="1">
      <c r="E287" s="18"/>
    </row>
    <row r="288" spans="5:5" ht="15.75" customHeight="1">
      <c r="E288" s="18"/>
    </row>
    <row r="289" spans="5:5" ht="15.75" customHeight="1">
      <c r="E289" s="18"/>
    </row>
    <row r="290" spans="5:5" ht="15.75" customHeight="1">
      <c r="E290" s="18"/>
    </row>
    <row r="291" spans="5:5" ht="15.75" customHeight="1">
      <c r="E291" s="18"/>
    </row>
    <row r="292" spans="5:5" ht="15.75" customHeight="1">
      <c r="E292" s="18"/>
    </row>
    <row r="293" spans="5:5" ht="15.75" customHeight="1">
      <c r="E293" s="18"/>
    </row>
    <row r="294" spans="5:5" ht="15.75" customHeight="1">
      <c r="E294" s="18"/>
    </row>
    <row r="295" spans="5:5" ht="15.75" customHeight="1">
      <c r="E295" s="18"/>
    </row>
    <row r="296" spans="5:5" ht="15.75" customHeight="1">
      <c r="E296" s="18"/>
    </row>
    <row r="297" spans="5:5" ht="15.75" customHeight="1">
      <c r="E297" s="18"/>
    </row>
    <row r="298" spans="5:5" ht="15.75" customHeight="1">
      <c r="E298" s="18"/>
    </row>
    <row r="299" spans="5:5" ht="15.75" customHeight="1">
      <c r="E299" s="18"/>
    </row>
    <row r="300" spans="5:5" ht="15.75" customHeight="1">
      <c r="E300" s="18"/>
    </row>
    <row r="301" spans="5:5" ht="15.75" customHeight="1">
      <c r="E301" s="18"/>
    </row>
    <row r="302" spans="5:5" ht="15.75" customHeight="1">
      <c r="E302" s="18"/>
    </row>
    <row r="303" spans="5:5" ht="15.75" customHeight="1">
      <c r="E303" s="18"/>
    </row>
    <row r="304" spans="5:5" ht="15.75" customHeight="1">
      <c r="E304" s="18"/>
    </row>
    <row r="305" spans="5:5" ht="15.75" customHeight="1">
      <c r="E305" s="18"/>
    </row>
    <row r="306" spans="5:5" ht="15.75" customHeight="1">
      <c r="E306" s="18"/>
    </row>
    <row r="307" spans="5:5" ht="15.75" customHeight="1">
      <c r="E307" s="18"/>
    </row>
    <row r="308" spans="5:5" ht="15.75" customHeight="1">
      <c r="E308" s="18"/>
    </row>
    <row r="309" spans="5:5" ht="15.75" customHeight="1">
      <c r="E309" s="18"/>
    </row>
    <row r="310" spans="5:5" ht="15.75" customHeight="1">
      <c r="E310" s="18"/>
    </row>
    <row r="311" spans="5:5" ht="15.75" customHeight="1">
      <c r="E311" s="18"/>
    </row>
    <row r="312" spans="5:5" ht="15.75" customHeight="1">
      <c r="E312" s="18"/>
    </row>
    <row r="313" spans="5:5" ht="15.75" customHeight="1">
      <c r="E313" s="18"/>
    </row>
    <row r="314" spans="5:5" ht="15.75" customHeight="1">
      <c r="E314" s="18"/>
    </row>
    <row r="315" spans="5:5" ht="15.75" customHeight="1">
      <c r="E315" s="18"/>
    </row>
    <row r="316" spans="5:5" ht="15.75" customHeight="1">
      <c r="E316" s="18"/>
    </row>
    <row r="317" spans="5:5" ht="15.75" customHeight="1">
      <c r="E317" s="18"/>
    </row>
    <row r="318" spans="5:5" ht="15.75" customHeight="1">
      <c r="E318" s="18"/>
    </row>
    <row r="319" spans="5:5" ht="15.75" customHeight="1">
      <c r="E319" s="18"/>
    </row>
    <row r="320" spans="5:5" ht="15.75" customHeight="1">
      <c r="E320" s="18"/>
    </row>
    <row r="321" spans="5:5" ht="15.75" customHeight="1">
      <c r="E321" s="18"/>
    </row>
    <row r="322" spans="5:5" ht="15.75" customHeight="1">
      <c r="E322" s="18"/>
    </row>
    <row r="323" spans="5:5" ht="15.75" customHeight="1">
      <c r="E323" s="18"/>
    </row>
    <row r="324" spans="5:5" ht="15.75" customHeight="1">
      <c r="E324" s="18"/>
    </row>
    <row r="325" spans="5:5" ht="15.75" customHeight="1">
      <c r="E325" s="18"/>
    </row>
    <row r="326" spans="5:5" ht="15.75" customHeight="1">
      <c r="E326" s="18"/>
    </row>
    <row r="327" spans="5:5" ht="15.75" customHeight="1">
      <c r="E327" s="18"/>
    </row>
    <row r="328" spans="5:5" ht="15.75" customHeight="1">
      <c r="E328" s="18"/>
    </row>
    <row r="329" spans="5:5" ht="15.75" customHeight="1">
      <c r="E329" s="18"/>
    </row>
    <row r="330" spans="5:5" ht="15.75" customHeight="1">
      <c r="E330" s="18"/>
    </row>
    <row r="331" spans="5:5" ht="15.75" customHeight="1">
      <c r="E331" s="18"/>
    </row>
    <row r="332" spans="5:5" ht="15.75" customHeight="1">
      <c r="E332" s="18"/>
    </row>
    <row r="333" spans="5:5" ht="15.75" customHeight="1">
      <c r="E333" s="18"/>
    </row>
    <row r="334" spans="5:5" ht="15.75" customHeight="1">
      <c r="E334" s="18"/>
    </row>
    <row r="335" spans="5:5" ht="15.75" customHeight="1">
      <c r="E335" s="18"/>
    </row>
    <row r="336" spans="5:5" ht="15.75" customHeight="1">
      <c r="E336" s="18"/>
    </row>
    <row r="337" spans="5:5" ht="15.75" customHeight="1">
      <c r="E337" s="18"/>
    </row>
    <row r="338" spans="5:5" ht="15.75" customHeight="1">
      <c r="E338" s="18"/>
    </row>
    <row r="339" spans="5:5" ht="15.75" customHeight="1">
      <c r="E339" s="18"/>
    </row>
    <row r="340" spans="5:5" ht="15.75" customHeight="1">
      <c r="E340" s="18"/>
    </row>
    <row r="341" spans="5:5" ht="15.75" customHeight="1">
      <c r="E341" s="18"/>
    </row>
    <row r="342" spans="5:5" ht="15.75" customHeight="1">
      <c r="E342" s="18"/>
    </row>
    <row r="343" spans="5:5" ht="15.75" customHeight="1">
      <c r="E343" s="18"/>
    </row>
    <row r="344" spans="5:5" ht="15.75" customHeight="1">
      <c r="E344" s="18"/>
    </row>
    <row r="345" spans="5:5" ht="15.75" customHeight="1">
      <c r="E345" s="18"/>
    </row>
    <row r="346" spans="5:5" ht="15.75" customHeight="1">
      <c r="E346" s="18"/>
    </row>
    <row r="347" spans="5:5" ht="15.75" customHeight="1">
      <c r="E347" s="18"/>
    </row>
    <row r="348" spans="5:5" ht="15.75" customHeight="1">
      <c r="E348" s="18"/>
    </row>
    <row r="349" spans="5:5" ht="15.75" customHeight="1">
      <c r="E349" s="18"/>
    </row>
    <row r="350" spans="5:5" ht="15.75" customHeight="1">
      <c r="E350" s="18"/>
    </row>
    <row r="351" spans="5:5" ht="15.75" customHeight="1">
      <c r="E351" s="18"/>
    </row>
    <row r="352" spans="5:5" ht="15.75" customHeight="1">
      <c r="E352" s="18"/>
    </row>
    <row r="353" spans="5:5" ht="15.75" customHeight="1">
      <c r="E353" s="18"/>
    </row>
    <row r="354" spans="5:5" ht="15.75" customHeight="1">
      <c r="E354" s="18"/>
    </row>
    <row r="355" spans="5:5" ht="15.75" customHeight="1">
      <c r="E355" s="18"/>
    </row>
    <row r="356" spans="5:5" ht="15.75" customHeight="1">
      <c r="E356" s="18"/>
    </row>
    <row r="357" spans="5:5" ht="15.75" customHeight="1">
      <c r="E357" s="18"/>
    </row>
    <row r="358" spans="5:5" ht="15.75" customHeight="1">
      <c r="E358" s="18"/>
    </row>
    <row r="359" spans="5:5" ht="15.75" customHeight="1">
      <c r="E359" s="18"/>
    </row>
    <row r="360" spans="5:5" ht="15.75" customHeight="1">
      <c r="E360" s="18"/>
    </row>
    <row r="361" spans="5:5" ht="15.75" customHeight="1">
      <c r="E361" s="18"/>
    </row>
    <row r="362" spans="5:5" ht="15.75" customHeight="1">
      <c r="E362" s="18"/>
    </row>
    <row r="363" spans="5:5" ht="15.75" customHeight="1">
      <c r="E363" s="18"/>
    </row>
    <row r="364" spans="5:5" ht="15.75" customHeight="1">
      <c r="E364" s="18"/>
    </row>
    <row r="365" spans="5:5" ht="15.75" customHeight="1">
      <c r="E365" s="18"/>
    </row>
    <row r="366" spans="5:5" ht="15.75" customHeight="1">
      <c r="E366" s="18"/>
    </row>
    <row r="367" spans="5:5" ht="15.75" customHeight="1">
      <c r="E367" s="18"/>
    </row>
    <row r="368" spans="5:5" ht="15.75" customHeight="1">
      <c r="E368" s="18"/>
    </row>
    <row r="369" spans="5:5" ht="15.75" customHeight="1">
      <c r="E369" s="18"/>
    </row>
    <row r="370" spans="5:5" ht="15.75" customHeight="1">
      <c r="E370" s="18"/>
    </row>
    <row r="371" spans="5:5" ht="15.75" customHeight="1">
      <c r="E371" s="18"/>
    </row>
    <row r="372" spans="5:5" ht="15.75" customHeight="1">
      <c r="E372" s="18"/>
    </row>
    <row r="373" spans="5:5" ht="15.75" customHeight="1">
      <c r="E373" s="18"/>
    </row>
    <row r="374" spans="5:5" ht="15.75" customHeight="1">
      <c r="E374" s="18"/>
    </row>
    <row r="375" spans="5:5" ht="15.75" customHeight="1">
      <c r="E375" s="18"/>
    </row>
    <row r="376" spans="5:5" ht="15.75" customHeight="1">
      <c r="E376" s="18"/>
    </row>
    <row r="377" spans="5:5" ht="15.75" customHeight="1">
      <c r="E377" s="18"/>
    </row>
    <row r="378" spans="5:5" ht="15.75" customHeight="1">
      <c r="E378" s="18"/>
    </row>
    <row r="379" spans="5:5" ht="15.75" customHeight="1">
      <c r="E379" s="18"/>
    </row>
    <row r="380" spans="5:5" ht="15.75" customHeight="1">
      <c r="E380" s="18"/>
    </row>
    <row r="381" spans="5:5" ht="15.75" customHeight="1">
      <c r="E381" s="18"/>
    </row>
    <row r="382" spans="5:5" ht="15.75" customHeight="1">
      <c r="E382" s="18"/>
    </row>
    <row r="383" spans="5:5" ht="15.75" customHeight="1">
      <c r="E383" s="18"/>
    </row>
    <row r="384" spans="5:5" ht="15.75" customHeight="1">
      <c r="E384" s="18"/>
    </row>
    <row r="385" spans="5:5" ht="15.75" customHeight="1">
      <c r="E385" s="18"/>
    </row>
    <row r="386" spans="5:5" ht="15.75" customHeight="1">
      <c r="E386" s="18"/>
    </row>
    <row r="387" spans="5:5" ht="15.75" customHeight="1">
      <c r="E387" s="18"/>
    </row>
    <row r="388" spans="5:5" ht="15.75" customHeight="1">
      <c r="E388" s="18"/>
    </row>
    <row r="389" spans="5:5" ht="15.75" customHeight="1">
      <c r="E389" s="18"/>
    </row>
    <row r="390" spans="5:5" ht="15.75" customHeight="1">
      <c r="E390" s="18"/>
    </row>
    <row r="391" spans="5:5" ht="15.75" customHeight="1">
      <c r="E391" s="18"/>
    </row>
    <row r="392" spans="5:5" ht="15.75" customHeight="1">
      <c r="E392" s="18"/>
    </row>
    <row r="393" spans="5:5" ht="15.75" customHeight="1">
      <c r="E393" s="18"/>
    </row>
    <row r="394" spans="5:5" ht="15.75" customHeight="1">
      <c r="E394" s="18"/>
    </row>
    <row r="395" spans="5:5" ht="15.75" customHeight="1">
      <c r="E395" s="18"/>
    </row>
    <row r="396" spans="5:5" ht="15.75" customHeight="1">
      <c r="E396" s="18"/>
    </row>
    <row r="397" spans="5:5" ht="15.75" customHeight="1">
      <c r="E397" s="18"/>
    </row>
    <row r="398" spans="5:5" ht="15.75" customHeight="1">
      <c r="E398" s="18"/>
    </row>
    <row r="399" spans="5:5" ht="15.75" customHeight="1">
      <c r="E399" s="18"/>
    </row>
    <row r="400" spans="5:5" ht="15.75" customHeight="1">
      <c r="E400" s="18"/>
    </row>
    <row r="401" spans="5:5" ht="15.75" customHeight="1">
      <c r="E401" s="18"/>
    </row>
    <row r="402" spans="5:5" ht="15.75" customHeight="1">
      <c r="E402" s="18"/>
    </row>
    <row r="403" spans="5:5" ht="15.75" customHeight="1">
      <c r="E403" s="18"/>
    </row>
    <row r="404" spans="5:5" ht="15.75" customHeight="1">
      <c r="E404" s="18"/>
    </row>
    <row r="405" spans="5:5" ht="15.75" customHeight="1">
      <c r="E405" s="18"/>
    </row>
    <row r="406" spans="5:5" ht="15.75" customHeight="1">
      <c r="E406" s="18"/>
    </row>
    <row r="407" spans="5:5" ht="15.75" customHeight="1">
      <c r="E407" s="18"/>
    </row>
    <row r="408" spans="5:5" ht="15.75" customHeight="1">
      <c r="E408" s="18"/>
    </row>
    <row r="409" spans="5:5" ht="15.75" customHeight="1">
      <c r="E409" s="18"/>
    </row>
    <row r="410" spans="5:5" ht="15.75" customHeight="1">
      <c r="E410" s="18"/>
    </row>
    <row r="411" spans="5:5" ht="15.75" customHeight="1">
      <c r="E411" s="18"/>
    </row>
    <row r="412" spans="5:5" ht="15.75" customHeight="1">
      <c r="E412" s="18"/>
    </row>
    <row r="413" spans="5:5" ht="15.75" customHeight="1">
      <c r="E413" s="18"/>
    </row>
    <row r="414" spans="5:5" ht="15.75" customHeight="1">
      <c r="E414" s="18"/>
    </row>
    <row r="415" spans="5:5" ht="15.75" customHeight="1">
      <c r="E415" s="18"/>
    </row>
    <row r="416" spans="5:5" ht="15.75" customHeight="1">
      <c r="E416" s="18"/>
    </row>
    <row r="417" spans="5:5" ht="15.75" customHeight="1">
      <c r="E417" s="18"/>
    </row>
    <row r="418" spans="5:5" ht="15.75" customHeight="1">
      <c r="E418" s="18"/>
    </row>
    <row r="419" spans="5:5" ht="15.75" customHeight="1">
      <c r="E419" s="18"/>
    </row>
    <row r="420" spans="5:5" ht="15.75" customHeight="1">
      <c r="E420" s="18"/>
    </row>
    <row r="421" spans="5:5" ht="15.75" customHeight="1">
      <c r="E421" s="18"/>
    </row>
    <row r="422" spans="5:5" ht="15.75" customHeight="1">
      <c r="E422" s="18"/>
    </row>
    <row r="423" spans="5:5" ht="15.75" customHeight="1">
      <c r="E423" s="18"/>
    </row>
    <row r="424" spans="5:5" ht="15.75" customHeight="1">
      <c r="E424" s="18"/>
    </row>
    <row r="425" spans="5:5" ht="15.75" customHeight="1">
      <c r="E425" s="18"/>
    </row>
    <row r="426" spans="5:5" ht="15.75" customHeight="1">
      <c r="E426" s="18"/>
    </row>
    <row r="427" spans="5:5" ht="15.75" customHeight="1">
      <c r="E427" s="18"/>
    </row>
    <row r="428" spans="5:5" ht="15.75" customHeight="1">
      <c r="E428" s="18"/>
    </row>
    <row r="429" spans="5:5" ht="15.75" customHeight="1">
      <c r="E429" s="18"/>
    </row>
    <row r="430" spans="5:5" ht="15.75" customHeight="1">
      <c r="E430" s="18"/>
    </row>
    <row r="431" spans="5:5" ht="15.75" customHeight="1">
      <c r="E431" s="18"/>
    </row>
    <row r="432" spans="5:5" ht="15.75" customHeight="1">
      <c r="E432" s="18"/>
    </row>
    <row r="433" spans="5:5" ht="15.75" customHeight="1">
      <c r="E433" s="18"/>
    </row>
    <row r="434" spans="5:5" ht="15.75" customHeight="1">
      <c r="E434" s="18"/>
    </row>
    <row r="435" spans="5:5" ht="15.75" customHeight="1">
      <c r="E435" s="18"/>
    </row>
    <row r="436" spans="5:5" ht="15.75" customHeight="1">
      <c r="E436" s="18"/>
    </row>
    <row r="437" spans="5:5" ht="15.75" customHeight="1">
      <c r="E437" s="18"/>
    </row>
    <row r="438" spans="5:5" ht="15.75" customHeight="1">
      <c r="E438" s="18"/>
    </row>
    <row r="439" spans="5:5" ht="15.75" customHeight="1">
      <c r="E439" s="18"/>
    </row>
    <row r="440" spans="5:5" ht="15.75" customHeight="1">
      <c r="E440" s="18"/>
    </row>
    <row r="441" spans="5:5" ht="15.75" customHeight="1">
      <c r="E441" s="18"/>
    </row>
    <row r="442" spans="5:5" ht="15.75" customHeight="1">
      <c r="E442" s="18"/>
    </row>
    <row r="443" spans="5:5" ht="15.75" customHeight="1">
      <c r="E443" s="18"/>
    </row>
    <row r="444" spans="5:5" ht="15.75" customHeight="1">
      <c r="E444" s="18"/>
    </row>
    <row r="445" spans="5:5" ht="15.75" customHeight="1">
      <c r="E445" s="18"/>
    </row>
    <row r="446" spans="5:5" ht="15.75" customHeight="1">
      <c r="E446" s="18"/>
    </row>
    <row r="447" spans="5:5" ht="15.75" customHeight="1">
      <c r="E447" s="18"/>
    </row>
    <row r="448" spans="5:5" ht="15.75" customHeight="1">
      <c r="E448" s="18"/>
    </row>
    <row r="449" spans="5:5" ht="15.75" customHeight="1">
      <c r="E449" s="18"/>
    </row>
    <row r="450" spans="5:5" ht="15.75" customHeight="1">
      <c r="E450" s="18"/>
    </row>
    <row r="451" spans="5:5" ht="15.75" customHeight="1">
      <c r="E451" s="18"/>
    </row>
    <row r="452" spans="5:5" ht="15.75" customHeight="1">
      <c r="E452" s="18"/>
    </row>
    <row r="453" spans="5:5" ht="15.75" customHeight="1">
      <c r="E453" s="18"/>
    </row>
    <row r="454" spans="5:5" ht="15.75" customHeight="1">
      <c r="E454" s="18"/>
    </row>
    <row r="455" spans="5:5" ht="15.75" customHeight="1">
      <c r="E455" s="18"/>
    </row>
    <row r="456" spans="5:5" ht="15.75" customHeight="1">
      <c r="E456" s="18"/>
    </row>
    <row r="457" spans="5:5" ht="15.75" customHeight="1">
      <c r="E457" s="18"/>
    </row>
    <row r="458" spans="5:5" ht="15.75" customHeight="1">
      <c r="E458" s="18"/>
    </row>
    <row r="459" spans="5:5" ht="15.75" customHeight="1">
      <c r="E459" s="18"/>
    </row>
    <row r="460" spans="5:5" ht="15.75" customHeight="1">
      <c r="E460" s="18"/>
    </row>
    <row r="461" spans="5:5" ht="15.75" customHeight="1">
      <c r="E461" s="18"/>
    </row>
    <row r="462" spans="5:5" ht="15.75" customHeight="1">
      <c r="E462" s="18"/>
    </row>
    <row r="463" spans="5:5" ht="15.75" customHeight="1">
      <c r="E463" s="18"/>
    </row>
    <row r="464" spans="5:5" ht="15.75" customHeight="1">
      <c r="E464" s="18"/>
    </row>
    <row r="465" spans="5:5" ht="15.75" customHeight="1">
      <c r="E465" s="18"/>
    </row>
    <row r="466" spans="5:5" ht="15.75" customHeight="1">
      <c r="E466" s="18"/>
    </row>
    <row r="467" spans="5:5" ht="15.75" customHeight="1">
      <c r="E467" s="18"/>
    </row>
    <row r="468" spans="5:5" ht="15.75" customHeight="1">
      <c r="E468" s="18"/>
    </row>
    <row r="469" spans="5:5" ht="15.75" customHeight="1">
      <c r="E469" s="18"/>
    </row>
    <row r="470" spans="5:5" ht="15.75" customHeight="1">
      <c r="E470" s="18"/>
    </row>
    <row r="471" spans="5:5" ht="15.75" customHeight="1">
      <c r="E471" s="18"/>
    </row>
    <row r="472" spans="5:5" ht="15.75" customHeight="1">
      <c r="E472" s="18"/>
    </row>
    <row r="473" spans="5:5" ht="15.75" customHeight="1">
      <c r="E473" s="18"/>
    </row>
    <row r="474" spans="5:5" ht="15.75" customHeight="1">
      <c r="E474" s="18"/>
    </row>
    <row r="475" spans="5:5" ht="15.75" customHeight="1">
      <c r="E475" s="18"/>
    </row>
    <row r="476" spans="5:5" ht="15.75" customHeight="1">
      <c r="E476" s="18"/>
    </row>
    <row r="477" spans="5:5" ht="15.75" customHeight="1">
      <c r="E477" s="18"/>
    </row>
    <row r="478" spans="5:5" ht="15.75" customHeight="1">
      <c r="E478" s="18"/>
    </row>
    <row r="479" spans="5:5" ht="15.75" customHeight="1">
      <c r="E479" s="18"/>
    </row>
    <row r="480" spans="5:5" ht="15.75" customHeight="1">
      <c r="E480" s="18"/>
    </row>
    <row r="481" spans="5:5" ht="15.75" customHeight="1">
      <c r="E481" s="18"/>
    </row>
    <row r="482" spans="5:5" ht="15.75" customHeight="1">
      <c r="E482" s="18"/>
    </row>
    <row r="483" spans="5:5" ht="15.75" customHeight="1">
      <c r="E483" s="18"/>
    </row>
    <row r="484" spans="5:5" ht="15.75" customHeight="1">
      <c r="E484" s="18"/>
    </row>
    <row r="485" spans="5:5" ht="15.75" customHeight="1">
      <c r="E485" s="18"/>
    </row>
    <row r="486" spans="5:5" ht="15.75" customHeight="1">
      <c r="E486" s="18"/>
    </row>
    <row r="487" spans="5:5" ht="15.75" customHeight="1">
      <c r="E487" s="18"/>
    </row>
    <row r="488" spans="5:5" ht="15.75" customHeight="1">
      <c r="E488" s="18"/>
    </row>
    <row r="489" spans="5:5" ht="15.75" customHeight="1">
      <c r="E489" s="18"/>
    </row>
    <row r="490" spans="5:5" ht="15.75" customHeight="1">
      <c r="E490" s="18"/>
    </row>
    <row r="491" spans="5:5" ht="15.75" customHeight="1">
      <c r="E491" s="18"/>
    </row>
    <row r="492" spans="5:5" ht="15.75" customHeight="1">
      <c r="E492" s="18"/>
    </row>
    <row r="493" spans="5:5" ht="15.75" customHeight="1">
      <c r="E493" s="18"/>
    </row>
    <row r="494" spans="5:5" ht="15.75" customHeight="1">
      <c r="E494" s="18"/>
    </row>
    <row r="495" spans="5:5" ht="15.75" customHeight="1">
      <c r="E495" s="18"/>
    </row>
    <row r="496" spans="5:5" ht="15.75" customHeight="1">
      <c r="E496" s="18"/>
    </row>
    <row r="497" spans="5:5" ht="15.75" customHeight="1">
      <c r="E497" s="18"/>
    </row>
    <row r="498" spans="5:5" ht="15.75" customHeight="1">
      <c r="E498" s="18"/>
    </row>
    <row r="499" spans="5:5" ht="15.75" customHeight="1">
      <c r="E499" s="18"/>
    </row>
    <row r="500" spans="5:5" ht="15.75" customHeight="1">
      <c r="E500" s="18"/>
    </row>
    <row r="501" spans="5:5" ht="15.75" customHeight="1">
      <c r="E501" s="18"/>
    </row>
    <row r="502" spans="5:5" ht="15.75" customHeight="1">
      <c r="E502" s="18"/>
    </row>
    <row r="503" spans="5:5" ht="15.75" customHeight="1">
      <c r="E503" s="18"/>
    </row>
    <row r="504" spans="5:5" ht="15.75" customHeight="1">
      <c r="E504" s="18"/>
    </row>
    <row r="505" spans="5:5" ht="15.75" customHeight="1">
      <c r="E505" s="18"/>
    </row>
    <row r="506" spans="5:5" ht="15.75" customHeight="1">
      <c r="E506" s="18"/>
    </row>
    <row r="507" spans="5:5" ht="15.75" customHeight="1">
      <c r="E507" s="18"/>
    </row>
    <row r="508" spans="5:5" ht="15.75" customHeight="1">
      <c r="E508" s="18"/>
    </row>
    <row r="509" spans="5:5" ht="15.75" customHeight="1">
      <c r="E509" s="18"/>
    </row>
    <row r="510" spans="5:5" ht="15.75" customHeight="1">
      <c r="E510" s="18"/>
    </row>
    <row r="511" spans="5:5" ht="15.75" customHeight="1">
      <c r="E511" s="18"/>
    </row>
    <row r="512" spans="5:5" ht="15.75" customHeight="1">
      <c r="E512" s="18"/>
    </row>
    <row r="513" spans="5:5" ht="15.75" customHeight="1">
      <c r="E513" s="18"/>
    </row>
    <row r="514" spans="5:5" ht="15.75" customHeight="1">
      <c r="E514" s="18"/>
    </row>
    <row r="515" spans="5:5" ht="15.75" customHeight="1">
      <c r="E515" s="18"/>
    </row>
    <row r="516" spans="5:5" ht="15.75" customHeight="1">
      <c r="E516" s="18"/>
    </row>
    <row r="517" spans="5:5" ht="15.75" customHeight="1">
      <c r="E517" s="18"/>
    </row>
    <row r="518" spans="5:5" ht="15.75" customHeight="1">
      <c r="E518" s="18"/>
    </row>
    <row r="519" spans="5:5" ht="15.75" customHeight="1">
      <c r="E519" s="18"/>
    </row>
    <row r="520" spans="5:5" ht="15.75" customHeight="1">
      <c r="E520" s="18"/>
    </row>
    <row r="521" spans="5:5" ht="15.75" customHeight="1">
      <c r="E521" s="18"/>
    </row>
    <row r="522" spans="5:5" ht="15.75" customHeight="1">
      <c r="E522" s="18"/>
    </row>
    <row r="523" spans="5:5" ht="15.75" customHeight="1">
      <c r="E523" s="18"/>
    </row>
    <row r="524" spans="5:5" ht="15.75" customHeight="1">
      <c r="E524" s="18"/>
    </row>
    <row r="525" spans="5:5" ht="15.75" customHeight="1">
      <c r="E525" s="18"/>
    </row>
    <row r="526" spans="5:5" ht="15.75" customHeight="1">
      <c r="E526" s="18"/>
    </row>
    <row r="527" spans="5:5" ht="15.75" customHeight="1">
      <c r="E527" s="18"/>
    </row>
    <row r="528" spans="5:5" ht="15.75" customHeight="1">
      <c r="E528" s="18"/>
    </row>
    <row r="529" spans="5:5" ht="15.75" customHeight="1">
      <c r="E529" s="18"/>
    </row>
    <row r="530" spans="5:5" ht="15.75" customHeight="1">
      <c r="E530" s="18"/>
    </row>
    <row r="531" spans="5:5" ht="15.75" customHeight="1">
      <c r="E531" s="18"/>
    </row>
    <row r="532" spans="5:5" ht="15.75" customHeight="1">
      <c r="E532" s="18"/>
    </row>
    <row r="533" spans="5:5" ht="15.75" customHeight="1">
      <c r="E533" s="18"/>
    </row>
    <row r="534" spans="5:5" ht="15.75" customHeight="1">
      <c r="E534" s="18"/>
    </row>
    <row r="535" spans="5:5" ht="15.75" customHeight="1">
      <c r="E535" s="18"/>
    </row>
    <row r="536" spans="5:5" ht="15.75" customHeight="1">
      <c r="E536" s="18"/>
    </row>
    <row r="537" spans="5:5" ht="15.75" customHeight="1">
      <c r="E537" s="18"/>
    </row>
    <row r="538" spans="5:5" ht="15.75" customHeight="1">
      <c r="E538" s="18"/>
    </row>
    <row r="539" spans="5:5" ht="15.75" customHeight="1">
      <c r="E539" s="18"/>
    </row>
    <row r="540" spans="5:5" ht="15.75" customHeight="1">
      <c r="E540" s="18"/>
    </row>
    <row r="541" spans="5:5" ht="15.75" customHeight="1">
      <c r="E541" s="18"/>
    </row>
    <row r="542" spans="5:5" ht="15.75" customHeight="1">
      <c r="E542" s="18"/>
    </row>
    <row r="543" spans="5:5" ht="15.75" customHeight="1">
      <c r="E543" s="18"/>
    </row>
    <row r="544" spans="5:5" ht="15.75" customHeight="1">
      <c r="E544" s="18"/>
    </row>
    <row r="545" spans="5:5" ht="15.75" customHeight="1">
      <c r="E545" s="18"/>
    </row>
    <row r="546" spans="5:5" ht="15.75" customHeight="1">
      <c r="E546" s="18"/>
    </row>
    <row r="547" spans="5:5" ht="15.75" customHeight="1">
      <c r="E547" s="18"/>
    </row>
    <row r="548" spans="5:5" ht="15.75" customHeight="1">
      <c r="E548" s="18"/>
    </row>
    <row r="549" spans="5:5" ht="15.75" customHeight="1">
      <c r="E549" s="18"/>
    </row>
    <row r="550" spans="5:5" ht="15.75" customHeight="1">
      <c r="E550" s="18"/>
    </row>
    <row r="551" spans="5:5" ht="15.75" customHeight="1">
      <c r="E551" s="18"/>
    </row>
    <row r="552" spans="5:5" ht="15.75" customHeight="1">
      <c r="E552" s="18"/>
    </row>
    <row r="553" spans="5:5" ht="15.75" customHeight="1">
      <c r="E553" s="18"/>
    </row>
    <row r="554" spans="5:5" ht="15.75" customHeight="1">
      <c r="E554" s="18"/>
    </row>
    <row r="555" spans="5:5" ht="15.75" customHeight="1">
      <c r="E555" s="18"/>
    </row>
    <row r="556" spans="5:5" ht="15.75" customHeight="1">
      <c r="E556" s="18"/>
    </row>
    <row r="557" spans="5:5" ht="15.75" customHeight="1">
      <c r="E557" s="18"/>
    </row>
    <row r="558" spans="5:5" ht="15.75" customHeight="1">
      <c r="E558" s="18"/>
    </row>
    <row r="559" spans="5:5" ht="15.75" customHeight="1">
      <c r="E559" s="18"/>
    </row>
    <row r="560" spans="5:5" ht="15.75" customHeight="1">
      <c r="E560" s="18"/>
    </row>
    <row r="561" spans="5:5" ht="15.75" customHeight="1">
      <c r="E561" s="18"/>
    </row>
    <row r="562" spans="5:5" ht="15.75" customHeight="1">
      <c r="E562" s="18"/>
    </row>
    <row r="563" spans="5:5" ht="15.75" customHeight="1">
      <c r="E563" s="18"/>
    </row>
    <row r="564" spans="5:5" ht="15.75" customHeight="1">
      <c r="E564" s="18"/>
    </row>
    <row r="565" spans="5:5" ht="15.75" customHeight="1">
      <c r="E565" s="18"/>
    </row>
    <row r="566" spans="5:5" ht="15.75" customHeight="1">
      <c r="E566" s="18"/>
    </row>
    <row r="567" spans="5:5" ht="15.75" customHeight="1">
      <c r="E567" s="18"/>
    </row>
    <row r="568" spans="5:5" ht="15.75" customHeight="1">
      <c r="E568" s="18"/>
    </row>
    <row r="569" spans="5:5" ht="15.75" customHeight="1">
      <c r="E569" s="18"/>
    </row>
    <row r="570" spans="5:5" ht="15.75" customHeight="1">
      <c r="E570" s="18"/>
    </row>
    <row r="571" spans="5:5" ht="15.75" customHeight="1">
      <c r="E571" s="18"/>
    </row>
    <row r="572" spans="5:5" ht="15.75" customHeight="1">
      <c r="E572" s="18"/>
    </row>
    <row r="573" spans="5:5" ht="15.75" customHeight="1">
      <c r="E573" s="18"/>
    </row>
    <row r="574" spans="5:5" ht="15.75" customHeight="1">
      <c r="E574" s="18"/>
    </row>
    <row r="575" spans="5:5" ht="15.75" customHeight="1">
      <c r="E575" s="18"/>
    </row>
    <row r="576" spans="5:5" ht="15.75" customHeight="1">
      <c r="E576" s="18"/>
    </row>
    <row r="577" spans="5:5" ht="15.75" customHeight="1">
      <c r="E577" s="18"/>
    </row>
    <row r="578" spans="5:5" ht="15.75" customHeight="1">
      <c r="E578" s="18"/>
    </row>
    <row r="579" spans="5:5" ht="15.75" customHeight="1">
      <c r="E579" s="18"/>
    </row>
    <row r="580" spans="5:5" ht="15.75" customHeight="1">
      <c r="E580" s="18"/>
    </row>
    <row r="581" spans="5:5" ht="15.75" customHeight="1">
      <c r="E581" s="18"/>
    </row>
    <row r="582" spans="5:5" ht="15.75" customHeight="1">
      <c r="E582" s="18"/>
    </row>
    <row r="583" spans="5:5" ht="15.75" customHeight="1">
      <c r="E583" s="18"/>
    </row>
    <row r="584" spans="5:5" ht="15.75" customHeight="1">
      <c r="E584" s="18"/>
    </row>
    <row r="585" spans="5:5" ht="15.75" customHeight="1">
      <c r="E585" s="18"/>
    </row>
    <row r="586" spans="5:5" ht="15.75" customHeight="1">
      <c r="E586" s="18"/>
    </row>
    <row r="587" spans="5:5" ht="15.75" customHeight="1">
      <c r="E587" s="18"/>
    </row>
    <row r="588" spans="5:5" ht="15.75" customHeight="1">
      <c r="E588" s="18"/>
    </row>
    <row r="589" spans="5:5" ht="15.75" customHeight="1">
      <c r="E589" s="18"/>
    </row>
    <row r="590" spans="5:5" ht="15.75" customHeight="1">
      <c r="E590" s="18"/>
    </row>
    <row r="591" spans="5:5" ht="15.75" customHeight="1">
      <c r="E591" s="18"/>
    </row>
    <row r="592" spans="5:5" ht="15.75" customHeight="1">
      <c r="E592" s="18"/>
    </row>
    <row r="593" spans="5:5" ht="15.75" customHeight="1">
      <c r="E593" s="18"/>
    </row>
    <row r="594" spans="5:5" ht="15.75" customHeight="1">
      <c r="E594" s="18"/>
    </row>
    <row r="595" spans="5:5" ht="15.75" customHeight="1">
      <c r="E595" s="18"/>
    </row>
    <row r="596" spans="5:5" ht="15.75" customHeight="1">
      <c r="E596" s="18"/>
    </row>
    <row r="597" spans="5:5" ht="15.75" customHeight="1">
      <c r="E597" s="18"/>
    </row>
    <row r="598" spans="5:5" ht="15.75" customHeight="1">
      <c r="E598" s="18"/>
    </row>
    <row r="599" spans="5:5" ht="15.75" customHeight="1">
      <c r="E599" s="18"/>
    </row>
    <row r="600" spans="5:5" ht="15.75" customHeight="1">
      <c r="E600" s="18"/>
    </row>
    <row r="601" spans="5:5" ht="15.75" customHeight="1">
      <c r="E601" s="18"/>
    </row>
    <row r="602" spans="5:5" ht="15.75" customHeight="1">
      <c r="E602" s="18"/>
    </row>
    <row r="603" spans="5:5" ht="15.75" customHeight="1">
      <c r="E603" s="18"/>
    </row>
    <row r="604" spans="5:5" ht="15.75" customHeight="1">
      <c r="E604" s="18"/>
    </row>
    <row r="605" spans="5:5" ht="15.75" customHeight="1">
      <c r="E605" s="18"/>
    </row>
    <row r="606" spans="5:5" ht="15.75" customHeight="1">
      <c r="E606" s="18"/>
    </row>
    <row r="607" spans="5:5" ht="15.75" customHeight="1">
      <c r="E607" s="18"/>
    </row>
    <row r="608" spans="5:5" ht="15.75" customHeight="1">
      <c r="E608" s="18"/>
    </row>
    <row r="609" spans="5:5" ht="15.75" customHeight="1">
      <c r="E609" s="18"/>
    </row>
    <row r="610" spans="5:5" ht="15.75" customHeight="1">
      <c r="E610" s="18"/>
    </row>
    <row r="611" spans="5:5" ht="15.75" customHeight="1">
      <c r="E611" s="18"/>
    </row>
    <row r="612" spans="5:5" ht="15.75" customHeight="1">
      <c r="E612" s="18"/>
    </row>
    <row r="613" spans="5:5" ht="15.75" customHeight="1">
      <c r="E613" s="18"/>
    </row>
    <row r="614" spans="5:5" ht="15.75" customHeight="1">
      <c r="E614" s="18"/>
    </row>
    <row r="615" spans="5:5" ht="15.75" customHeight="1">
      <c r="E615" s="18"/>
    </row>
    <row r="616" spans="5:5" ht="15.75" customHeight="1">
      <c r="E616" s="18"/>
    </row>
    <row r="617" spans="5:5" ht="15.75" customHeight="1">
      <c r="E617" s="18"/>
    </row>
    <row r="618" spans="5:5" ht="15.75" customHeight="1">
      <c r="E618" s="18"/>
    </row>
    <row r="619" spans="5:5" ht="15.75" customHeight="1">
      <c r="E619" s="18"/>
    </row>
    <row r="620" spans="5:5" ht="15.75" customHeight="1">
      <c r="E620" s="18"/>
    </row>
    <row r="621" spans="5:5" ht="15.75" customHeight="1">
      <c r="E621" s="18"/>
    </row>
    <row r="622" spans="5:5" ht="15.75" customHeight="1">
      <c r="E622" s="18"/>
    </row>
    <row r="623" spans="5:5" ht="15.75" customHeight="1">
      <c r="E623" s="18"/>
    </row>
    <row r="624" spans="5:5" ht="15.75" customHeight="1">
      <c r="E624" s="18"/>
    </row>
    <row r="625" spans="5:5" ht="15.75" customHeight="1">
      <c r="E625" s="18"/>
    </row>
    <row r="626" spans="5:5" ht="15.75" customHeight="1">
      <c r="E626" s="18"/>
    </row>
    <row r="627" spans="5:5" ht="15.75" customHeight="1">
      <c r="E627" s="18"/>
    </row>
    <row r="628" spans="5:5" ht="15.75" customHeight="1">
      <c r="E628" s="18"/>
    </row>
    <row r="629" spans="5:5" ht="15.75" customHeight="1">
      <c r="E629" s="18"/>
    </row>
    <row r="630" spans="5:5" ht="15.75" customHeight="1">
      <c r="E630" s="18"/>
    </row>
    <row r="631" spans="5:5" ht="15.75" customHeight="1">
      <c r="E631" s="18"/>
    </row>
    <row r="632" spans="5:5" ht="15.75" customHeight="1">
      <c r="E632" s="18"/>
    </row>
    <row r="633" spans="5:5" ht="15.75" customHeight="1">
      <c r="E633" s="18"/>
    </row>
    <row r="634" spans="5:5" ht="15.75" customHeight="1">
      <c r="E634" s="18"/>
    </row>
    <row r="635" spans="5:5" ht="15.75" customHeight="1">
      <c r="E635" s="18"/>
    </row>
    <row r="636" spans="5:5" ht="15.75" customHeight="1">
      <c r="E636" s="18"/>
    </row>
    <row r="637" spans="5:5" ht="15.75" customHeight="1">
      <c r="E637" s="18"/>
    </row>
    <row r="638" spans="5:5" ht="15.75" customHeight="1">
      <c r="E638" s="18"/>
    </row>
    <row r="639" spans="5:5" ht="15.75" customHeight="1">
      <c r="E639" s="18"/>
    </row>
    <row r="640" spans="5:5" ht="15.75" customHeight="1">
      <c r="E640" s="18"/>
    </row>
    <row r="641" spans="5:5" ht="15.75" customHeight="1">
      <c r="E641" s="18"/>
    </row>
    <row r="642" spans="5:5" ht="15.75" customHeight="1">
      <c r="E642" s="18"/>
    </row>
    <row r="643" spans="5:5" ht="15.75" customHeight="1">
      <c r="E643" s="18"/>
    </row>
    <row r="644" spans="5:5" ht="15.75" customHeight="1">
      <c r="E644" s="18"/>
    </row>
    <row r="645" spans="5:5" ht="15.75" customHeight="1">
      <c r="E645" s="18"/>
    </row>
    <row r="646" spans="5:5" ht="15.75" customHeight="1">
      <c r="E646" s="18"/>
    </row>
    <row r="647" spans="5:5" ht="15.75" customHeight="1">
      <c r="E647" s="18"/>
    </row>
    <row r="648" spans="5:5" ht="15.75" customHeight="1">
      <c r="E648" s="18"/>
    </row>
    <row r="649" spans="5:5" ht="15.75" customHeight="1">
      <c r="E649" s="18"/>
    </row>
    <row r="650" spans="5:5" ht="15.75" customHeight="1">
      <c r="E650" s="18"/>
    </row>
    <row r="651" spans="5:5" ht="15.75" customHeight="1">
      <c r="E651" s="18"/>
    </row>
    <row r="652" spans="5:5" ht="15.75" customHeight="1">
      <c r="E652" s="18"/>
    </row>
    <row r="653" spans="5:5" ht="15.75" customHeight="1">
      <c r="E653" s="18"/>
    </row>
    <row r="654" spans="5:5" ht="15.75" customHeight="1">
      <c r="E654" s="18"/>
    </row>
    <row r="655" spans="5:5" ht="15.75" customHeight="1">
      <c r="E655" s="18"/>
    </row>
    <row r="656" spans="5:5" ht="15.75" customHeight="1">
      <c r="E656" s="18"/>
    </row>
    <row r="657" spans="5:5" ht="15.75" customHeight="1">
      <c r="E657" s="18"/>
    </row>
    <row r="658" spans="5:5" ht="15.75" customHeight="1">
      <c r="E658" s="18"/>
    </row>
    <row r="659" spans="5:5" ht="15.75" customHeight="1">
      <c r="E659" s="18"/>
    </row>
    <row r="660" spans="5:5" ht="15.75" customHeight="1">
      <c r="E660" s="18"/>
    </row>
    <row r="661" spans="5:5" ht="15.75" customHeight="1">
      <c r="E661" s="18"/>
    </row>
    <row r="662" spans="5:5" ht="15.75" customHeight="1">
      <c r="E662" s="18"/>
    </row>
    <row r="663" spans="5:5" ht="15.75" customHeight="1">
      <c r="E663" s="18"/>
    </row>
    <row r="664" spans="5:5" ht="15.75" customHeight="1">
      <c r="E664" s="18"/>
    </row>
    <row r="665" spans="5:5" ht="15.75" customHeight="1">
      <c r="E665" s="18"/>
    </row>
    <row r="666" spans="5:5" ht="15.75" customHeight="1">
      <c r="E666" s="18"/>
    </row>
    <row r="667" spans="5:5" ht="15.75" customHeight="1">
      <c r="E667" s="18"/>
    </row>
    <row r="668" spans="5:5" ht="15.75" customHeight="1">
      <c r="E668" s="18"/>
    </row>
    <row r="669" spans="5:5" ht="15.75" customHeight="1">
      <c r="E669" s="18"/>
    </row>
    <row r="670" spans="5:5" ht="15.75" customHeight="1">
      <c r="E670" s="18"/>
    </row>
    <row r="671" spans="5:5" ht="15.75" customHeight="1">
      <c r="E671" s="18"/>
    </row>
    <row r="672" spans="5:5" ht="15.75" customHeight="1">
      <c r="E672" s="18"/>
    </row>
    <row r="673" spans="5:5" ht="15.75" customHeight="1">
      <c r="E673" s="18"/>
    </row>
    <row r="674" spans="5:5" ht="15.75" customHeight="1">
      <c r="E674" s="18"/>
    </row>
    <row r="675" spans="5:5" ht="15.75" customHeight="1">
      <c r="E675" s="18"/>
    </row>
    <row r="676" spans="5:5" ht="15.75" customHeight="1">
      <c r="E676" s="18"/>
    </row>
    <row r="677" spans="5:5" ht="15.75" customHeight="1">
      <c r="E677" s="18"/>
    </row>
    <row r="678" spans="5:5" ht="15.75" customHeight="1">
      <c r="E678" s="18"/>
    </row>
    <row r="679" spans="5:5" ht="15.75" customHeight="1">
      <c r="E679" s="18"/>
    </row>
    <row r="680" spans="5:5" ht="15.75" customHeight="1">
      <c r="E680" s="18"/>
    </row>
    <row r="681" spans="5:5" ht="15.75" customHeight="1">
      <c r="E681" s="18"/>
    </row>
    <row r="682" spans="5:5" ht="15.75" customHeight="1">
      <c r="E682" s="18"/>
    </row>
    <row r="683" spans="5:5" ht="15.75" customHeight="1">
      <c r="E683" s="18"/>
    </row>
    <row r="684" spans="5:5" ht="15.75" customHeight="1">
      <c r="E684" s="18"/>
    </row>
    <row r="685" spans="5:5" ht="15.75" customHeight="1">
      <c r="E685" s="18"/>
    </row>
    <row r="686" spans="5:5" ht="15.75" customHeight="1">
      <c r="E686" s="18"/>
    </row>
    <row r="687" spans="5:5" ht="15.75" customHeight="1">
      <c r="E687" s="18"/>
    </row>
    <row r="688" spans="5:5" ht="15.75" customHeight="1">
      <c r="E688" s="18"/>
    </row>
    <row r="689" spans="5:5" ht="15.75" customHeight="1">
      <c r="E689" s="18"/>
    </row>
    <row r="690" spans="5:5" ht="15.75" customHeight="1">
      <c r="E690" s="18"/>
    </row>
    <row r="691" spans="5:5" ht="15.75" customHeight="1">
      <c r="E691" s="18"/>
    </row>
    <row r="692" spans="5:5" ht="15.75" customHeight="1">
      <c r="E692" s="18"/>
    </row>
    <row r="693" spans="5:5" ht="15.75" customHeight="1">
      <c r="E693" s="18"/>
    </row>
    <row r="694" spans="5:5" ht="15.75" customHeight="1">
      <c r="E694" s="18"/>
    </row>
    <row r="695" spans="5:5" ht="15.75" customHeight="1">
      <c r="E695" s="18"/>
    </row>
    <row r="696" spans="5:5" ht="15.75" customHeight="1">
      <c r="E696" s="18"/>
    </row>
    <row r="697" spans="5:5" ht="15.75" customHeight="1">
      <c r="E697" s="18"/>
    </row>
    <row r="698" spans="5:5" ht="15.75" customHeight="1">
      <c r="E698" s="18"/>
    </row>
    <row r="699" spans="5:5" ht="15.75" customHeight="1">
      <c r="E699" s="18"/>
    </row>
    <row r="700" spans="5:5" ht="15.75" customHeight="1">
      <c r="E700" s="18"/>
    </row>
    <row r="701" spans="5:5" ht="15.75" customHeight="1">
      <c r="E701" s="18"/>
    </row>
    <row r="702" spans="5:5" ht="15.75" customHeight="1">
      <c r="E702" s="18"/>
    </row>
    <row r="703" spans="5:5" ht="15.75" customHeight="1">
      <c r="E703" s="18"/>
    </row>
    <row r="704" spans="5:5" ht="15.75" customHeight="1">
      <c r="E704" s="18"/>
    </row>
    <row r="705" spans="5:5" ht="15.75" customHeight="1">
      <c r="E705" s="18"/>
    </row>
    <row r="706" spans="5:5" ht="15.75" customHeight="1">
      <c r="E706" s="18"/>
    </row>
    <row r="707" spans="5:5" ht="15.75" customHeight="1">
      <c r="E707" s="18"/>
    </row>
    <row r="708" spans="5:5" ht="15.75" customHeight="1">
      <c r="E708" s="18"/>
    </row>
    <row r="709" spans="5:5" ht="15.75" customHeight="1">
      <c r="E709" s="18"/>
    </row>
    <row r="710" spans="5:5" ht="15.75" customHeight="1">
      <c r="E710" s="18"/>
    </row>
    <row r="711" spans="5:5" ht="15.75" customHeight="1">
      <c r="E711" s="18"/>
    </row>
    <row r="712" spans="5:5" ht="15.75" customHeight="1">
      <c r="E712" s="18"/>
    </row>
    <row r="713" spans="5:5" ht="15.75" customHeight="1">
      <c r="E713" s="18"/>
    </row>
    <row r="714" spans="5:5" ht="15.75" customHeight="1">
      <c r="E714" s="18"/>
    </row>
    <row r="715" spans="5:5" ht="15.75" customHeight="1">
      <c r="E715" s="18"/>
    </row>
    <row r="716" spans="5:5" ht="15.75" customHeight="1">
      <c r="E716" s="18"/>
    </row>
    <row r="717" spans="5:5" ht="15.75" customHeight="1">
      <c r="E717" s="18"/>
    </row>
    <row r="718" spans="5:5" ht="15.75" customHeight="1">
      <c r="E718" s="18"/>
    </row>
    <row r="719" spans="5:5" ht="15.75" customHeight="1">
      <c r="E719" s="18"/>
    </row>
    <row r="720" spans="5:5" ht="15.75" customHeight="1">
      <c r="E720" s="18"/>
    </row>
    <row r="721" spans="5:5" ht="15.75" customHeight="1">
      <c r="E721" s="18"/>
    </row>
    <row r="722" spans="5:5" ht="15.75" customHeight="1">
      <c r="E722" s="18"/>
    </row>
    <row r="723" spans="5:5" ht="15.75" customHeight="1">
      <c r="E723" s="18"/>
    </row>
    <row r="724" spans="5:5" ht="15.75" customHeight="1">
      <c r="E724" s="18"/>
    </row>
    <row r="725" spans="5:5" ht="15.75" customHeight="1">
      <c r="E725" s="18"/>
    </row>
    <row r="726" spans="5:5" ht="15.75" customHeight="1">
      <c r="E726" s="18"/>
    </row>
    <row r="727" spans="5:5" ht="15.75" customHeight="1">
      <c r="E727" s="18"/>
    </row>
    <row r="728" spans="5:5" ht="15.75" customHeight="1">
      <c r="E728" s="18"/>
    </row>
    <row r="729" spans="5:5" ht="15.75" customHeight="1">
      <c r="E729" s="18"/>
    </row>
    <row r="730" spans="5:5" ht="15.75" customHeight="1">
      <c r="E730" s="18"/>
    </row>
    <row r="731" spans="5:5" ht="15.75" customHeight="1">
      <c r="E731" s="18"/>
    </row>
    <row r="732" spans="5:5" ht="15.75" customHeight="1">
      <c r="E732" s="18"/>
    </row>
    <row r="733" spans="5:5" ht="15.75" customHeight="1">
      <c r="E733" s="18"/>
    </row>
    <row r="734" spans="5:5" ht="15.75" customHeight="1">
      <c r="E734" s="18"/>
    </row>
    <row r="735" spans="5:5" ht="15.75" customHeight="1">
      <c r="E735" s="18"/>
    </row>
    <row r="736" spans="5:5" ht="15.75" customHeight="1">
      <c r="E736" s="18"/>
    </row>
    <row r="737" spans="5:5" ht="15.75" customHeight="1">
      <c r="E737" s="18"/>
    </row>
    <row r="738" spans="5:5" ht="15.75" customHeight="1">
      <c r="E738" s="18"/>
    </row>
    <row r="739" spans="5:5" ht="15.75" customHeight="1">
      <c r="E739" s="18"/>
    </row>
    <row r="740" spans="5:5" ht="15.75" customHeight="1">
      <c r="E740" s="18"/>
    </row>
    <row r="741" spans="5:5" ht="15.75" customHeight="1">
      <c r="E741" s="18"/>
    </row>
    <row r="742" spans="5:5" ht="15.75" customHeight="1">
      <c r="E742" s="18"/>
    </row>
    <row r="743" spans="5:5" ht="15.75" customHeight="1">
      <c r="E743" s="18"/>
    </row>
    <row r="744" spans="5:5" ht="15.75" customHeight="1">
      <c r="E744" s="18"/>
    </row>
    <row r="745" spans="5:5" ht="15.75" customHeight="1">
      <c r="E745" s="18"/>
    </row>
    <row r="746" spans="5:5" ht="15.75" customHeight="1">
      <c r="E746" s="18"/>
    </row>
    <row r="747" spans="5:5" ht="15.75" customHeight="1">
      <c r="E747" s="18"/>
    </row>
    <row r="748" spans="5:5" ht="15.75" customHeight="1">
      <c r="E748" s="18"/>
    </row>
    <row r="749" spans="5:5" ht="15.75" customHeight="1">
      <c r="E749" s="18"/>
    </row>
    <row r="750" spans="5:5" ht="15.75" customHeight="1">
      <c r="E750" s="18"/>
    </row>
    <row r="751" spans="5:5" ht="15.75" customHeight="1">
      <c r="E751" s="18"/>
    </row>
    <row r="752" spans="5:5" ht="15.75" customHeight="1">
      <c r="E752" s="18"/>
    </row>
    <row r="753" spans="5:5" ht="15.75" customHeight="1">
      <c r="E753" s="18"/>
    </row>
    <row r="754" spans="5:5" ht="15.75" customHeight="1">
      <c r="E754" s="18"/>
    </row>
    <row r="755" spans="5:5" ht="15.75" customHeight="1">
      <c r="E755" s="18"/>
    </row>
    <row r="756" spans="5:5" ht="15.75" customHeight="1">
      <c r="E756" s="18"/>
    </row>
    <row r="757" spans="5:5" ht="15.75" customHeight="1">
      <c r="E757" s="18"/>
    </row>
    <row r="758" spans="5:5" ht="15.75" customHeight="1">
      <c r="E758" s="18"/>
    </row>
    <row r="759" spans="5:5" ht="15.75" customHeight="1">
      <c r="E759" s="18"/>
    </row>
    <row r="760" spans="5:5" ht="15.75" customHeight="1">
      <c r="E760" s="18"/>
    </row>
    <row r="761" spans="5:5" ht="15.75" customHeight="1">
      <c r="E761" s="18"/>
    </row>
    <row r="762" spans="5:5" ht="15.75" customHeight="1">
      <c r="E762" s="18"/>
    </row>
    <row r="763" spans="5:5" ht="15.75" customHeight="1">
      <c r="E763" s="18"/>
    </row>
    <row r="764" spans="5:5" ht="15.75" customHeight="1">
      <c r="E764" s="18"/>
    </row>
    <row r="765" spans="5:5" ht="15.75" customHeight="1">
      <c r="E765" s="18"/>
    </row>
    <row r="766" spans="5:5" ht="15.75" customHeight="1">
      <c r="E766" s="18"/>
    </row>
    <row r="767" spans="5:5" ht="15.75" customHeight="1">
      <c r="E767" s="18"/>
    </row>
    <row r="768" spans="5:5" ht="15.75" customHeight="1">
      <c r="E768" s="18"/>
    </row>
    <row r="769" spans="5:5" ht="15.75" customHeight="1">
      <c r="E769" s="18"/>
    </row>
    <row r="770" spans="5:5" ht="15.75" customHeight="1">
      <c r="E770" s="18"/>
    </row>
    <row r="771" spans="5:5" ht="15.75" customHeight="1">
      <c r="E771" s="18"/>
    </row>
    <row r="772" spans="5:5" ht="15.75" customHeight="1">
      <c r="E772" s="18"/>
    </row>
    <row r="773" spans="5:5" ht="15.75" customHeight="1">
      <c r="E773" s="18"/>
    </row>
    <row r="774" spans="5:5" ht="15.75" customHeight="1">
      <c r="E774" s="18"/>
    </row>
    <row r="775" spans="5:5" ht="15.75" customHeight="1">
      <c r="E775" s="18"/>
    </row>
    <row r="776" spans="5:5" ht="15.75" customHeight="1">
      <c r="E776" s="18"/>
    </row>
    <row r="777" spans="5:5" ht="15.75" customHeight="1">
      <c r="E777" s="18"/>
    </row>
    <row r="778" spans="5:5" ht="15.75" customHeight="1">
      <c r="E778" s="18"/>
    </row>
    <row r="779" spans="5:5" ht="15.75" customHeight="1">
      <c r="E779" s="18"/>
    </row>
    <row r="780" spans="5:5" ht="15.75" customHeight="1">
      <c r="E780" s="18"/>
    </row>
    <row r="781" spans="5:5" ht="15.75" customHeight="1">
      <c r="E781" s="18"/>
    </row>
    <row r="782" spans="5:5" ht="15.75" customHeight="1">
      <c r="E782" s="18"/>
    </row>
    <row r="783" spans="5:5" ht="15.75" customHeight="1">
      <c r="E783" s="18"/>
    </row>
    <row r="784" spans="5:5" ht="15.75" customHeight="1">
      <c r="E784" s="18"/>
    </row>
    <row r="785" spans="5:5" ht="15.75" customHeight="1">
      <c r="E785" s="18"/>
    </row>
    <row r="786" spans="5:5" ht="15.75" customHeight="1">
      <c r="E786" s="18"/>
    </row>
    <row r="787" spans="5:5" ht="15.75" customHeight="1">
      <c r="E787" s="18"/>
    </row>
    <row r="788" spans="5:5" ht="15.75" customHeight="1">
      <c r="E788" s="18"/>
    </row>
    <row r="789" spans="5:5" ht="15.75" customHeight="1">
      <c r="E789" s="18"/>
    </row>
    <row r="790" spans="5:5" ht="15.75" customHeight="1">
      <c r="E790" s="18"/>
    </row>
    <row r="791" spans="5:5" ht="15.75" customHeight="1">
      <c r="E791" s="18"/>
    </row>
    <row r="792" spans="5:5" ht="15.75" customHeight="1">
      <c r="E792" s="18"/>
    </row>
    <row r="793" spans="5:5" ht="15.75" customHeight="1">
      <c r="E793" s="18"/>
    </row>
    <row r="794" spans="5:5" ht="15.75" customHeight="1">
      <c r="E794" s="18"/>
    </row>
    <row r="795" spans="5:5" ht="15.75" customHeight="1">
      <c r="E795" s="18"/>
    </row>
    <row r="796" spans="5:5" ht="15.75" customHeight="1">
      <c r="E796" s="18"/>
    </row>
    <row r="797" spans="5:5" ht="15.75" customHeight="1">
      <c r="E797" s="18"/>
    </row>
    <row r="798" spans="5:5" ht="15.75" customHeight="1">
      <c r="E798" s="18"/>
    </row>
    <row r="799" spans="5:5" ht="15.75" customHeight="1">
      <c r="E799" s="18"/>
    </row>
    <row r="800" spans="5:5" ht="15.75" customHeight="1">
      <c r="E800" s="18"/>
    </row>
    <row r="801" spans="5:5" ht="15.75" customHeight="1">
      <c r="E801" s="18"/>
    </row>
    <row r="802" spans="5:5" ht="15.75" customHeight="1">
      <c r="E802" s="18"/>
    </row>
    <row r="803" spans="5:5" ht="15.75" customHeight="1">
      <c r="E803" s="18"/>
    </row>
    <row r="804" spans="5:5" ht="15.75" customHeight="1">
      <c r="E804" s="18"/>
    </row>
    <row r="805" spans="5:5" ht="15.75" customHeight="1">
      <c r="E805" s="18"/>
    </row>
    <row r="806" spans="5:5" ht="15.75" customHeight="1">
      <c r="E806" s="18"/>
    </row>
    <row r="807" spans="5:5" ht="15.75" customHeight="1">
      <c r="E807" s="18"/>
    </row>
    <row r="808" spans="5:5" ht="15.75" customHeight="1">
      <c r="E808" s="18"/>
    </row>
    <row r="809" spans="5:5" ht="15.75" customHeight="1">
      <c r="E809" s="18"/>
    </row>
    <row r="810" spans="5:5" ht="15.75" customHeight="1">
      <c r="E810" s="18"/>
    </row>
    <row r="811" spans="5:5" ht="15.75" customHeight="1">
      <c r="E811" s="18"/>
    </row>
    <row r="812" spans="5:5" ht="15.75" customHeight="1">
      <c r="E812" s="18"/>
    </row>
    <row r="813" spans="5:5" ht="15.75" customHeight="1">
      <c r="E813" s="18"/>
    </row>
    <row r="814" spans="5:5" ht="15.75" customHeight="1">
      <c r="E814" s="18"/>
    </row>
    <row r="815" spans="5:5" ht="15.75" customHeight="1">
      <c r="E815" s="18"/>
    </row>
    <row r="816" spans="5:5" ht="15.75" customHeight="1">
      <c r="E816" s="18"/>
    </row>
    <row r="817" spans="5:5" ht="15.75" customHeight="1">
      <c r="E817" s="18"/>
    </row>
    <row r="818" spans="5:5" ht="15.75" customHeight="1">
      <c r="E818" s="18"/>
    </row>
    <row r="819" spans="5:5" ht="15.75" customHeight="1">
      <c r="E819" s="18"/>
    </row>
    <row r="820" spans="5:5" ht="15.75" customHeight="1">
      <c r="E820" s="18"/>
    </row>
    <row r="821" spans="5:5" ht="15.75" customHeight="1">
      <c r="E821" s="18"/>
    </row>
    <row r="822" spans="5:5" ht="15.75" customHeight="1">
      <c r="E822" s="18"/>
    </row>
    <row r="823" spans="5:5" ht="15.75" customHeight="1">
      <c r="E823" s="18"/>
    </row>
    <row r="824" spans="5:5" ht="15.75" customHeight="1">
      <c r="E824" s="18"/>
    </row>
    <row r="825" spans="5:5" ht="15.75" customHeight="1">
      <c r="E825" s="18"/>
    </row>
    <row r="826" spans="5:5" ht="15.75" customHeight="1">
      <c r="E826" s="18"/>
    </row>
    <row r="827" spans="5:5" ht="15.75" customHeight="1">
      <c r="E827" s="18"/>
    </row>
    <row r="828" spans="5:5" ht="15.75" customHeight="1">
      <c r="E828" s="18"/>
    </row>
    <row r="829" spans="5:5" ht="15.75" customHeight="1">
      <c r="E829" s="18"/>
    </row>
    <row r="830" spans="5:5" ht="15.75" customHeight="1">
      <c r="E830" s="18"/>
    </row>
    <row r="831" spans="5:5" ht="15.75" customHeight="1">
      <c r="E831" s="18"/>
    </row>
    <row r="832" spans="5:5" ht="15.75" customHeight="1">
      <c r="E832" s="18"/>
    </row>
    <row r="833" spans="5:5" ht="15.75" customHeight="1">
      <c r="E833" s="18"/>
    </row>
    <row r="834" spans="5:5" ht="15.75" customHeight="1">
      <c r="E834" s="18"/>
    </row>
    <row r="835" spans="5:5" ht="15.75" customHeight="1">
      <c r="E835" s="18"/>
    </row>
    <row r="836" spans="5:5" ht="15.75" customHeight="1">
      <c r="E836" s="18"/>
    </row>
    <row r="837" spans="5:5" ht="15.75" customHeight="1">
      <c r="E837" s="18"/>
    </row>
    <row r="838" spans="5:5" ht="15.75" customHeight="1">
      <c r="E838" s="18"/>
    </row>
    <row r="839" spans="5:5" ht="15.75" customHeight="1">
      <c r="E839" s="18"/>
    </row>
    <row r="840" spans="5:5" ht="15.75" customHeight="1">
      <c r="E840" s="18"/>
    </row>
    <row r="841" spans="5:5" ht="15.75" customHeight="1">
      <c r="E841" s="18"/>
    </row>
    <row r="842" spans="5:5" ht="15.75" customHeight="1">
      <c r="E842" s="18"/>
    </row>
    <row r="843" spans="5:5" ht="15.75" customHeight="1">
      <c r="E843" s="18"/>
    </row>
    <row r="844" spans="5:5" ht="15.75" customHeight="1">
      <c r="E844" s="18"/>
    </row>
    <row r="845" spans="5:5" ht="15.75" customHeight="1">
      <c r="E845" s="18"/>
    </row>
    <row r="846" spans="5:5" ht="15.75" customHeight="1">
      <c r="E846" s="18"/>
    </row>
    <row r="847" spans="5:5" ht="15.75" customHeight="1">
      <c r="E847" s="18"/>
    </row>
    <row r="848" spans="5:5" ht="15.75" customHeight="1">
      <c r="E848" s="18"/>
    </row>
    <row r="849" spans="5:5" ht="15.75" customHeight="1">
      <c r="E849" s="18"/>
    </row>
    <row r="850" spans="5:5" ht="15.75" customHeight="1">
      <c r="E850" s="18"/>
    </row>
    <row r="851" spans="5:5" ht="15.75" customHeight="1">
      <c r="E851" s="18"/>
    </row>
    <row r="852" spans="5:5" ht="15.75" customHeight="1">
      <c r="E852" s="18"/>
    </row>
    <row r="853" spans="5:5" ht="15.75" customHeight="1">
      <c r="E853" s="18"/>
    </row>
    <row r="854" spans="5:5" ht="15.75" customHeight="1">
      <c r="E854" s="18"/>
    </row>
    <row r="855" spans="5:5" ht="15.75" customHeight="1">
      <c r="E855" s="18"/>
    </row>
    <row r="856" spans="5:5" ht="15.75" customHeight="1">
      <c r="E856" s="18"/>
    </row>
    <row r="857" spans="5:5" ht="15.75" customHeight="1">
      <c r="E857" s="18"/>
    </row>
    <row r="858" spans="5:5" ht="15.75" customHeight="1">
      <c r="E858" s="18"/>
    </row>
    <row r="859" spans="5:5" ht="15.75" customHeight="1">
      <c r="E859" s="18"/>
    </row>
    <row r="860" spans="5:5" ht="15.75" customHeight="1">
      <c r="E860" s="18"/>
    </row>
    <row r="861" spans="5:5" ht="15.75" customHeight="1">
      <c r="E861" s="18"/>
    </row>
    <row r="862" spans="5:5" ht="15.75" customHeight="1">
      <c r="E862" s="18"/>
    </row>
    <row r="863" spans="5:5" ht="15.75" customHeight="1">
      <c r="E863" s="18"/>
    </row>
    <row r="864" spans="5:5" ht="15.75" customHeight="1">
      <c r="E864" s="18"/>
    </row>
    <row r="865" spans="5:5" ht="15.75" customHeight="1">
      <c r="E865" s="18"/>
    </row>
    <row r="866" spans="5:5" ht="15.75" customHeight="1">
      <c r="E866" s="18"/>
    </row>
    <row r="867" spans="5:5" ht="15.75" customHeight="1">
      <c r="E867" s="18"/>
    </row>
    <row r="868" spans="5:5" ht="15.75" customHeight="1">
      <c r="E868" s="18"/>
    </row>
    <row r="869" spans="5:5" ht="15.75" customHeight="1">
      <c r="E869" s="18"/>
    </row>
    <row r="870" spans="5:5" ht="15.75" customHeight="1">
      <c r="E870" s="18"/>
    </row>
    <row r="871" spans="5:5" ht="15.75" customHeight="1">
      <c r="E871" s="18"/>
    </row>
    <row r="872" spans="5:5" ht="15.75" customHeight="1">
      <c r="E872" s="18"/>
    </row>
    <row r="873" spans="5:5" ht="15.75" customHeight="1">
      <c r="E873" s="18"/>
    </row>
    <row r="874" spans="5:5" ht="15.75" customHeight="1">
      <c r="E874" s="18"/>
    </row>
    <row r="875" spans="5:5" ht="15.75" customHeight="1">
      <c r="E875" s="18"/>
    </row>
    <row r="876" spans="5:5" ht="15.75" customHeight="1">
      <c r="E876" s="18"/>
    </row>
    <row r="877" spans="5:5" ht="15.75" customHeight="1">
      <c r="E877" s="18"/>
    </row>
    <row r="878" spans="5:5" ht="15.75" customHeight="1">
      <c r="E878" s="18"/>
    </row>
    <row r="879" spans="5:5" ht="15.75" customHeight="1">
      <c r="E879" s="18"/>
    </row>
    <row r="880" spans="5:5" ht="15.75" customHeight="1">
      <c r="E880" s="18"/>
    </row>
    <row r="881" spans="5:5" ht="15.75" customHeight="1">
      <c r="E881" s="18"/>
    </row>
    <row r="882" spans="5:5" ht="15.75" customHeight="1">
      <c r="E882" s="18"/>
    </row>
    <row r="883" spans="5:5" ht="15.75" customHeight="1">
      <c r="E883" s="18"/>
    </row>
    <row r="884" spans="5:5" ht="15.75" customHeight="1">
      <c r="E884" s="18"/>
    </row>
    <row r="885" spans="5:5" ht="15.75" customHeight="1">
      <c r="E885" s="18"/>
    </row>
    <row r="886" spans="5:5" ht="15.75" customHeight="1">
      <c r="E886" s="18"/>
    </row>
    <row r="887" spans="5:5" ht="15.75" customHeight="1">
      <c r="E887" s="18"/>
    </row>
    <row r="888" spans="5:5" ht="15.75" customHeight="1">
      <c r="E888" s="18"/>
    </row>
    <row r="889" spans="5:5" ht="15.75" customHeight="1">
      <c r="E889" s="18"/>
    </row>
    <row r="890" spans="5:5" ht="15.75" customHeight="1">
      <c r="E890" s="18"/>
    </row>
    <row r="891" spans="5:5" ht="15.75" customHeight="1">
      <c r="E891" s="18"/>
    </row>
    <row r="892" spans="5:5" ht="15.75" customHeight="1">
      <c r="E892" s="18"/>
    </row>
    <row r="893" spans="5:5" ht="15.75" customHeight="1">
      <c r="E893" s="18"/>
    </row>
    <row r="894" spans="5:5" ht="15.75" customHeight="1">
      <c r="E894" s="18"/>
    </row>
    <row r="895" spans="5:5" ht="15.75" customHeight="1">
      <c r="E895" s="18"/>
    </row>
    <row r="896" spans="5:5" ht="15.75" customHeight="1">
      <c r="E896" s="18"/>
    </row>
    <row r="897" spans="5:5" ht="15.75" customHeight="1">
      <c r="E897" s="18"/>
    </row>
    <row r="898" spans="5:5" ht="15.75" customHeight="1">
      <c r="E898" s="18"/>
    </row>
    <row r="899" spans="5:5" ht="15.75" customHeight="1">
      <c r="E899" s="18"/>
    </row>
    <row r="900" spans="5:5" ht="15.75" customHeight="1">
      <c r="E900" s="18"/>
    </row>
    <row r="901" spans="5:5" ht="15.75" customHeight="1">
      <c r="E901" s="18"/>
    </row>
    <row r="902" spans="5:5" ht="15.75" customHeight="1">
      <c r="E902" s="18"/>
    </row>
    <row r="903" spans="5:5" ht="15.75" customHeight="1">
      <c r="E903" s="18"/>
    </row>
    <row r="904" spans="5:5" ht="15.75" customHeight="1">
      <c r="E904" s="18"/>
    </row>
    <row r="905" spans="5:5" ht="15.75" customHeight="1">
      <c r="E905" s="18"/>
    </row>
    <row r="906" spans="5:5" ht="15.75" customHeight="1">
      <c r="E906" s="18"/>
    </row>
    <row r="907" spans="5:5" ht="15.75" customHeight="1">
      <c r="E907" s="18"/>
    </row>
    <row r="908" spans="5:5" ht="15.75" customHeight="1">
      <c r="E908" s="18"/>
    </row>
    <row r="909" spans="5:5" ht="15.75" customHeight="1">
      <c r="E909" s="18"/>
    </row>
    <row r="910" spans="5:5" ht="15.75" customHeight="1">
      <c r="E910" s="18"/>
    </row>
    <row r="911" spans="5:5" ht="15.75" customHeight="1">
      <c r="E911" s="18"/>
    </row>
    <row r="912" spans="5:5" ht="15.75" customHeight="1">
      <c r="E912" s="18"/>
    </row>
    <row r="913" spans="5:5" ht="15.75" customHeight="1">
      <c r="E913" s="18"/>
    </row>
    <row r="914" spans="5:5" ht="15.75" customHeight="1">
      <c r="E914" s="18"/>
    </row>
    <row r="915" spans="5:5" ht="15.75" customHeight="1">
      <c r="E915" s="18"/>
    </row>
    <row r="916" spans="5:5" ht="15.75" customHeight="1">
      <c r="E916" s="18"/>
    </row>
    <row r="917" spans="5:5" ht="15.75" customHeight="1">
      <c r="E917" s="18"/>
    </row>
    <row r="918" spans="5:5" ht="15.75" customHeight="1">
      <c r="E918" s="18"/>
    </row>
    <row r="919" spans="5:5" ht="15.75" customHeight="1">
      <c r="E919" s="18"/>
    </row>
    <row r="920" spans="5:5" ht="15.75" customHeight="1">
      <c r="E920" s="18"/>
    </row>
    <row r="921" spans="5:5" ht="15.75" customHeight="1">
      <c r="E921" s="18"/>
    </row>
    <row r="922" spans="5:5" ht="15.75" customHeight="1">
      <c r="E922" s="18"/>
    </row>
    <row r="923" spans="5:5" ht="15.75" customHeight="1">
      <c r="E923" s="18"/>
    </row>
    <row r="924" spans="5:5" ht="15.75" customHeight="1">
      <c r="E924" s="18"/>
    </row>
    <row r="925" spans="5:5" ht="15.75" customHeight="1">
      <c r="E925" s="18"/>
    </row>
    <row r="926" spans="5:5" ht="15.75" customHeight="1">
      <c r="E926" s="18"/>
    </row>
    <row r="927" spans="5:5" ht="15.75" customHeight="1">
      <c r="E927" s="18"/>
    </row>
    <row r="928" spans="5:5" ht="15.75" customHeight="1">
      <c r="E928" s="18"/>
    </row>
    <row r="929" spans="5:5" ht="15.75" customHeight="1">
      <c r="E929" s="18"/>
    </row>
    <row r="930" spans="5:5" ht="15.75" customHeight="1">
      <c r="E930" s="18"/>
    </row>
    <row r="931" spans="5:5" ht="15.75" customHeight="1">
      <c r="E931" s="18"/>
    </row>
    <row r="932" spans="5:5" ht="15.75" customHeight="1">
      <c r="E932" s="18"/>
    </row>
    <row r="933" spans="5:5" ht="15.75" customHeight="1">
      <c r="E933" s="18"/>
    </row>
    <row r="934" spans="5:5" ht="15.75" customHeight="1">
      <c r="E934" s="18"/>
    </row>
    <row r="935" spans="5:5" ht="15.75" customHeight="1">
      <c r="E935" s="18"/>
    </row>
    <row r="936" spans="5:5" ht="15.75" customHeight="1">
      <c r="E936" s="18"/>
    </row>
    <row r="937" spans="5:5" ht="15.75" customHeight="1">
      <c r="E937" s="18"/>
    </row>
    <row r="938" spans="5:5" ht="15.75" customHeight="1">
      <c r="E938" s="18"/>
    </row>
    <row r="939" spans="5:5" ht="15.75" customHeight="1">
      <c r="E939" s="18"/>
    </row>
    <row r="940" spans="5:5" ht="15.75" customHeight="1">
      <c r="E940" s="18"/>
    </row>
    <row r="941" spans="5:5" ht="15.75" customHeight="1">
      <c r="E941" s="18"/>
    </row>
    <row r="942" spans="5:5" ht="15.75" customHeight="1">
      <c r="E942" s="18"/>
    </row>
    <row r="943" spans="5:5" ht="15.75" customHeight="1">
      <c r="E943" s="18"/>
    </row>
    <row r="944" spans="5:5" ht="15.75" customHeight="1">
      <c r="E944" s="18"/>
    </row>
    <row r="945" spans="5:5" ht="15.75" customHeight="1">
      <c r="E945" s="18"/>
    </row>
    <row r="946" spans="5:5" ht="15.75" customHeight="1">
      <c r="E946" s="18"/>
    </row>
    <row r="947" spans="5:5" ht="15.75" customHeight="1">
      <c r="E947" s="18"/>
    </row>
    <row r="948" spans="5:5" ht="15.75" customHeight="1">
      <c r="E948" s="18"/>
    </row>
    <row r="949" spans="5:5" ht="15.75" customHeight="1">
      <c r="E949" s="18"/>
    </row>
    <row r="950" spans="5:5" ht="15.75" customHeight="1">
      <c r="E950" s="18"/>
    </row>
    <row r="951" spans="5:5" ht="15.75" customHeight="1">
      <c r="E951" s="18"/>
    </row>
    <row r="952" spans="5:5" ht="15.75" customHeight="1">
      <c r="E952" s="18"/>
    </row>
    <row r="953" spans="5:5" ht="15.75" customHeight="1">
      <c r="E953" s="18"/>
    </row>
    <row r="954" spans="5:5" ht="15.75" customHeight="1">
      <c r="E954" s="18"/>
    </row>
    <row r="955" spans="5:5" ht="15.75" customHeight="1">
      <c r="E955" s="18"/>
    </row>
    <row r="956" spans="5:5" ht="15.75" customHeight="1">
      <c r="E956" s="18"/>
    </row>
    <row r="957" spans="5:5" ht="15.75" customHeight="1">
      <c r="E957" s="18"/>
    </row>
    <row r="958" spans="5:5" ht="15.75" customHeight="1">
      <c r="E958" s="18"/>
    </row>
    <row r="959" spans="5:5" ht="15.75" customHeight="1">
      <c r="E959" s="18"/>
    </row>
    <row r="960" spans="5:5" ht="15.75" customHeight="1">
      <c r="E960" s="18"/>
    </row>
    <row r="961" spans="5:5" ht="15.75" customHeight="1">
      <c r="E961" s="18"/>
    </row>
    <row r="962" spans="5:5" ht="15.75" customHeight="1">
      <c r="E962" s="18"/>
    </row>
    <row r="963" spans="5:5" ht="15.75" customHeight="1">
      <c r="E963" s="18"/>
    </row>
    <row r="964" spans="5:5" ht="15.75" customHeight="1">
      <c r="E964" s="18"/>
    </row>
    <row r="965" spans="5:5" ht="15.75" customHeight="1">
      <c r="E965" s="18"/>
    </row>
    <row r="966" spans="5:5" ht="15.75" customHeight="1">
      <c r="E966" s="18"/>
    </row>
    <row r="967" spans="5:5" ht="15.75" customHeight="1">
      <c r="E967" s="18"/>
    </row>
    <row r="968" spans="5:5" ht="15.75" customHeight="1">
      <c r="E968" s="18"/>
    </row>
    <row r="969" spans="5:5" ht="15.75" customHeight="1">
      <c r="E969" s="18"/>
    </row>
    <row r="970" spans="5:5" ht="15.75" customHeight="1">
      <c r="E970" s="18"/>
    </row>
    <row r="971" spans="5:5" ht="15.75" customHeight="1">
      <c r="E971" s="18"/>
    </row>
    <row r="972" spans="5:5" ht="15.75" customHeight="1">
      <c r="E972" s="18"/>
    </row>
    <row r="973" spans="5:5" ht="15.75" customHeight="1">
      <c r="E973" s="18"/>
    </row>
    <row r="974" spans="5:5" ht="15.75" customHeight="1">
      <c r="E974" s="18"/>
    </row>
    <row r="975" spans="5:5" ht="15.75" customHeight="1">
      <c r="E975" s="18"/>
    </row>
    <row r="976" spans="5:5" ht="15.75" customHeight="1">
      <c r="E976" s="18"/>
    </row>
    <row r="977" spans="5:5" ht="15.75" customHeight="1">
      <c r="E977" s="18"/>
    </row>
    <row r="978" spans="5:5" ht="15.75" customHeight="1">
      <c r="E978" s="18"/>
    </row>
    <row r="979" spans="5:5" ht="15.75" customHeight="1">
      <c r="E979" s="18"/>
    </row>
    <row r="980" spans="5:5" ht="15.75" customHeight="1">
      <c r="E980" s="18"/>
    </row>
    <row r="981" spans="5:5" ht="15.75" customHeight="1">
      <c r="E981" s="18"/>
    </row>
    <row r="982" spans="5:5" ht="15.75" customHeight="1">
      <c r="E982" s="18"/>
    </row>
    <row r="983" spans="5:5" ht="15.75" customHeight="1">
      <c r="E983" s="18"/>
    </row>
    <row r="984" spans="5:5" ht="15.75" customHeight="1">
      <c r="E984" s="18"/>
    </row>
    <row r="985" spans="5:5" ht="15.75" customHeight="1">
      <c r="E985" s="18"/>
    </row>
    <row r="986" spans="5:5" ht="15.75" customHeight="1">
      <c r="E986" s="18"/>
    </row>
    <row r="987" spans="5:5" ht="15.75" customHeight="1">
      <c r="E987" s="18"/>
    </row>
    <row r="988" spans="5:5" ht="15.75" customHeight="1">
      <c r="E988" s="18"/>
    </row>
    <row r="989" spans="5:5" ht="15.75" customHeight="1">
      <c r="E989" s="18"/>
    </row>
    <row r="990" spans="5:5" ht="15.75" customHeight="1">
      <c r="E990" s="18"/>
    </row>
    <row r="991" spans="5:5" ht="15.75" customHeight="1">
      <c r="E991" s="18"/>
    </row>
    <row r="992" spans="5:5" ht="15.75" customHeight="1">
      <c r="E992" s="18"/>
    </row>
    <row r="993" spans="5:5" ht="15.75" customHeight="1">
      <c r="E993" s="18"/>
    </row>
    <row r="994" spans="5:5" ht="15.75" customHeight="1">
      <c r="E994" s="18"/>
    </row>
    <row r="995" spans="5:5" ht="15.75" customHeight="1">
      <c r="E995" s="18"/>
    </row>
    <row r="996" spans="5:5" ht="15.75" customHeight="1">
      <c r="E996" s="18"/>
    </row>
    <row r="997" spans="5:5" ht="15.75" customHeight="1">
      <c r="E997" s="18"/>
    </row>
    <row r="998" spans="5:5" ht="15.75" customHeight="1">
      <c r="E998" s="18"/>
    </row>
    <row r="999" spans="5:5" ht="15.75" customHeight="1">
      <c r="E999" s="18"/>
    </row>
    <row r="1000" spans="5:5" ht="15.75" customHeight="1">
      <c r="E1000" s="18"/>
    </row>
    <row r="1001" spans="5:5" ht="15.75" customHeight="1">
      <c r="E1001" s="18"/>
    </row>
    <row r="1002" spans="5:5" ht="15.75" customHeight="1">
      <c r="E1002" s="18"/>
    </row>
    <row r="1003" spans="5:5" ht="15.75" customHeight="1">
      <c r="E1003" s="18"/>
    </row>
    <row r="1004" spans="5:5" ht="15.75" customHeight="1">
      <c r="E1004" s="18"/>
    </row>
    <row r="1005" spans="5:5" ht="15.75" customHeight="1">
      <c r="E1005" s="18"/>
    </row>
    <row r="1006" spans="5:5" ht="15.75" customHeight="1">
      <c r="E1006" s="18"/>
    </row>
    <row r="1007" spans="5:5" ht="15.75" customHeight="1">
      <c r="E1007" s="18"/>
    </row>
    <row r="1008" spans="5:5" ht="15.75" customHeight="1">
      <c r="E1008" s="18"/>
    </row>
    <row r="1009" spans="5:5" ht="15.75" customHeight="1">
      <c r="E1009" s="18"/>
    </row>
    <row r="1010" spans="5:5" ht="15.75" customHeight="1">
      <c r="E1010" s="18"/>
    </row>
    <row r="1011" spans="5:5" ht="15.75" customHeight="1">
      <c r="E1011" s="18"/>
    </row>
    <row r="1012" spans="5:5" ht="15.75" customHeight="1">
      <c r="E1012" s="18"/>
    </row>
    <row r="1013" spans="5:5" ht="15.75" customHeight="1">
      <c r="E1013" s="18"/>
    </row>
    <row r="1014" spans="5:5" ht="15.75" customHeight="1">
      <c r="E1014" s="18"/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  <outlinePr summaryBelow="0" summaryRight="0"/>
  </sheetPr>
  <dimension ref="A1:AA1020"/>
  <sheetViews>
    <sheetView workbookViewId="0">
      <pane ySplit="1" topLeftCell="A17" activePane="bottomLeft" state="frozen"/>
      <selection pane="bottomLeft" activeCell="A45" sqref="A45:XFD45"/>
    </sheetView>
  </sheetViews>
  <sheetFormatPr defaultColWidth="14.453125" defaultRowHeight="15" customHeight="1"/>
  <cols>
    <col min="1" max="1" width="3.7265625" customWidth="1"/>
    <col min="2" max="2" width="66.54296875" customWidth="1"/>
    <col min="3" max="3" width="40.26953125" customWidth="1"/>
    <col min="4" max="4" width="39.81640625" customWidth="1"/>
    <col min="5" max="5" width="12.54296875" customWidth="1"/>
    <col min="6" max="6" width="118.453125" customWidth="1"/>
    <col min="7" max="7" width="24.54296875" customWidth="1"/>
  </cols>
  <sheetData>
    <row r="1" spans="1:27" ht="15.5">
      <c r="A1" s="55" t="s">
        <v>0</v>
      </c>
      <c r="B1" s="28" t="s">
        <v>1</v>
      </c>
      <c r="C1" s="2" t="s">
        <v>2</v>
      </c>
      <c r="D1" s="148" t="s">
        <v>27</v>
      </c>
      <c r="E1" s="149"/>
      <c r="F1" s="1" t="s">
        <v>41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5">
      <c r="A2" s="150">
        <v>1</v>
      </c>
      <c r="B2" s="151" t="s">
        <v>181</v>
      </c>
      <c r="C2" s="151" t="s">
        <v>182</v>
      </c>
      <c r="D2" s="152"/>
      <c r="E2" s="152" t="s">
        <v>30</v>
      </c>
      <c r="F2" s="153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</row>
    <row r="3" spans="1:27" ht="15.5">
      <c r="A3" s="155">
        <v>2</v>
      </c>
      <c r="B3" s="156" t="s">
        <v>183</v>
      </c>
      <c r="C3" s="156" t="s">
        <v>184</v>
      </c>
      <c r="D3" s="157"/>
      <c r="E3" s="152" t="s">
        <v>30</v>
      </c>
      <c r="F3" s="153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</row>
    <row r="4" spans="1:27" ht="15.5">
      <c r="A4" s="158">
        <v>3</v>
      </c>
      <c r="B4" s="23" t="s">
        <v>185</v>
      </c>
      <c r="C4" s="23" t="s">
        <v>186</v>
      </c>
      <c r="D4" s="159"/>
      <c r="E4" s="23" t="s">
        <v>78</v>
      </c>
      <c r="F4" s="16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5">
      <c r="A5" s="158">
        <v>4</v>
      </c>
      <c r="B5" s="23" t="s">
        <v>187</v>
      </c>
      <c r="C5" s="23" t="s">
        <v>188</v>
      </c>
      <c r="D5" s="68"/>
      <c r="E5" s="69" t="s">
        <v>78</v>
      </c>
      <c r="F5" s="160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27" ht="15.5">
      <c r="A6" s="158">
        <v>5</v>
      </c>
      <c r="B6" s="23" t="s">
        <v>189</v>
      </c>
      <c r="C6" s="69" t="s">
        <v>190</v>
      </c>
      <c r="D6" s="161"/>
      <c r="E6" s="61" t="s">
        <v>78</v>
      </c>
      <c r="F6" s="160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5">
      <c r="A7" s="162">
        <v>6</v>
      </c>
      <c r="B7" s="23" t="s">
        <v>191</v>
      </c>
      <c r="C7" s="69" t="s">
        <v>192</v>
      </c>
      <c r="D7" s="163"/>
      <c r="E7" s="163" t="s">
        <v>78</v>
      </c>
      <c r="F7" s="16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5">
      <c r="A8" s="164">
        <v>7</v>
      </c>
      <c r="B8" s="56" t="s">
        <v>193</v>
      </c>
      <c r="C8" s="165" t="s">
        <v>194</v>
      </c>
      <c r="D8" s="61"/>
      <c r="E8" s="61" t="s">
        <v>78</v>
      </c>
      <c r="F8" s="16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5">
      <c r="A9" s="167">
        <v>8</v>
      </c>
      <c r="B9" s="90" t="s">
        <v>195</v>
      </c>
      <c r="C9" s="110" t="s">
        <v>196</v>
      </c>
      <c r="D9" s="168"/>
      <c r="E9" s="42" t="s">
        <v>17</v>
      </c>
      <c r="F9" s="7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5">
      <c r="A10" s="167">
        <v>9</v>
      </c>
      <c r="B10" s="42" t="s">
        <v>197</v>
      </c>
      <c r="C10" s="42" t="s">
        <v>198</v>
      </c>
      <c r="D10" s="169"/>
      <c r="E10" s="81" t="s">
        <v>17</v>
      </c>
      <c r="F10" s="7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5">
      <c r="A11" s="167">
        <v>10</v>
      </c>
      <c r="B11" s="90" t="s">
        <v>199</v>
      </c>
      <c r="C11" s="91" t="s">
        <v>200</v>
      </c>
      <c r="D11" s="81"/>
      <c r="E11" s="42" t="s">
        <v>7</v>
      </c>
      <c r="F11" s="7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5">
      <c r="A12" s="167">
        <v>11</v>
      </c>
      <c r="B12" s="42" t="s">
        <v>201</v>
      </c>
      <c r="C12" s="81" t="s">
        <v>202</v>
      </c>
      <c r="D12" s="81"/>
      <c r="E12" s="42" t="s">
        <v>17</v>
      </c>
      <c r="F12" s="7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5">
      <c r="A13" s="167">
        <v>12</v>
      </c>
      <c r="B13" s="110" t="s">
        <v>203</v>
      </c>
      <c r="C13" s="110" t="s">
        <v>204</v>
      </c>
      <c r="D13" s="170"/>
      <c r="E13" s="42" t="s">
        <v>17</v>
      </c>
      <c r="F13" s="7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5">
      <c r="A14" s="167">
        <v>13</v>
      </c>
      <c r="B14" s="36" t="s">
        <v>205</v>
      </c>
      <c r="C14" s="42" t="s">
        <v>206</v>
      </c>
      <c r="D14" s="171"/>
      <c r="E14" s="27" t="s">
        <v>7</v>
      </c>
      <c r="F14" s="7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5">
      <c r="A15" s="167">
        <v>14</v>
      </c>
      <c r="B15" s="42" t="s">
        <v>207</v>
      </c>
      <c r="C15" s="81" t="s">
        <v>208</v>
      </c>
      <c r="D15" s="84"/>
      <c r="E15" s="27" t="s">
        <v>17</v>
      </c>
      <c r="F15" s="7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5">
      <c r="A16" s="167">
        <v>15</v>
      </c>
      <c r="B16" s="42" t="s">
        <v>209</v>
      </c>
      <c r="C16" s="42" t="s">
        <v>210</v>
      </c>
      <c r="D16" s="172"/>
      <c r="E16" s="81" t="s">
        <v>17</v>
      </c>
      <c r="F16" s="7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5">
      <c r="A17" s="167">
        <v>16</v>
      </c>
      <c r="B17" s="42" t="s">
        <v>211</v>
      </c>
      <c r="C17" s="42" t="s">
        <v>212</v>
      </c>
      <c r="D17" s="173"/>
      <c r="E17" s="87" t="s">
        <v>7</v>
      </c>
      <c r="F17" s="7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5">
      <c r="A18" s="167">
        <v>17</v>
      </c>
      <c r="B18" s="36" t="s">
        <v>213</v>
      </c>
      <c r="C18" s="36" t="s">
        <v>214</v>
      </c>
      <c r="D18" s="81"/>
      <c r="E18" s="81" t="s">
        <v>7</v>
      </c>
      <c r="F18" s="7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5">
      <c r="A19" s="167">
        <v>18</v>
      </c>
      <c r="B19" s="42" t="s">
        <v>215</v>
      </c>
      <c r="C19" s="42" t="s">
        <v>216</v>
      </c>
      <c r="D19" s="81"/>
      <c r="E19" s="42" t="s">
        <v>7</v>
      </c>
      <c r="F19" s="7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5">
      <c r="A20" s="167">
        <v>19</v>
      </c>
      <c r="B20" s="90" t="s">
        <v>217</v>
      </c>
      <c r="C20" s="110" t="s">
        <v>218</v>
      </c>
      <c r="D20" s="174"/>
      <c r="E20" s="87" t="s">
        <v>17</v>
      </c>
      <c r="F20" s="7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5">
      <c r="A21" s="167">
        <v>20</v>
      </c>
      <c r="B21" s="90" t="s">
        <v>219</v>
      </c>
      <c r="C21" s="110" t="s">
        <v>220</v>
      </c>
      <c r="D21" s="87"/>
      <c r="E21" s="84" t="s">
        <v>17</v>
      </c>
      <c r="F21" s="7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5">
      <c r="A22" s="167">
        <v>21</v>
      </c>
      <c r="B22" s="90" t="s">
        <v>221</v>
      </c>
      <c r="C22" s="110" t="s">
        <v>222</v>
      </c>
      <c r="D22" s="87"/>
      <c r="E22" s="86" t="s">
        <v>17</v>
      </c>
      <c r="F22" s="7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5">
      <c r="A23" s="167">
        <v>22</v>
      </c>
      <c r="B23" s="42" t="s">
        <v>223</v>
      </c>
      <c r="C23" s="42" t="s">
        <v>224</v>
      </c>
      <c r="D23" s="175"/>
      <c r="E23" s="86" t="s">
        <v>17</v>
      </c>
      <c r="F23" s="7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5">
      <c r="A24" s="167">
        <v>23</v>
      </c>
      <c r="B24" s="42" t="s">
        <v>225</v>
      </c>
      <c r="C24" s="42" t="s">
        <v>226</v>
      </c>
      <c r="D24" s="42"/>
      <c r="E24" s="42" t="s">
        <v>17</v>
      </c>
      <c r="F24" s="7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5">
      <c r="A25" s="167">
        <v>24</v>
      </c>
      <c r="B25" s="42" t="s">
        <v>227</v>
      </c>
      <c r="C25" s="42" t="s">
        <v>228</v>
      </c>
      <c r="D25" s="172"/>
      <c r="E25" s="81" t="s">
        <v>17</v>
      </c>
      <c r="F25" s="9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5">
      <c r="A26" s="167">
        <v>25</v>
      </c>
      <c r="B26" s="110" t="s">
        <v>229</v>
      </c>
      <c r="C26" s="110" t="s">
        <v>230</v>
      </c>
      <c r="D26" s="42"/>
      <c r="E26" s="81" t="s">
        <v>7</v>
      </c>
      <c r="F26" s="9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5">
      <c r="A27" s="167">
        <v>26</v>
      </c>
      <c r="B27" s="45" t="s">
        <v>231</v>
      </c>
      <c r="C27" s="45" t="s">
        <v>232</v>
      </c>
      <c r="D27" s="169"/>
      <c r="E27" s="81" t="s">
        <v>17</v>
      </c>
      <c r="F27" s="9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167">
        <v>27</v>
      </c>
      <c r="B28" s="103" t="s">
        <v>233</v>
      </c>
      <c r="C28" s="103" t="s">
        <v>234</v>
      </c>
      <c r="D28" s="169"/>
      <c r="E28" s="81" t="s">
        <v>17</v>
      </c>
      <c r="F28" s="7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>
      <c r="A29" s="167">
        <v>28</v>
      </c>
      <c r="B29" s="45" t="s">
        <v>235</v>
      </c>
      <c r="C29" s="45" t="s">
        <v>236</v>
      </c>
      <c r="D29" s="81"/>
      <c r="E29" s="81" t="s">
        <v>17</v>
      </c>
      <c r="F29" s="7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>
      <c r="A30" s="167">
        <v>29</v>
      </c>
      <c r="B30" s="44" t="s">
        <v>237</v>
      </c>
      <c r="C30" s="44" t="s">
        <v>238</v>
      </c>
      <c r="D30" s="85"/>
      <c r="E30" s="86" t="s">
        <v>17</v>
      </c>
      <c r="F30" s="7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>
      <c r="A31" s="167">
        <v>30</v>
      </c>
      <c r="B31" s="45" t="s">
        <v>239</v>
      </c>
      <c r="C31" s="45" t="s">
        <v>240</v>
      </c>
      <c r="D31" s="176"/>
      <c r="E31" s="86" t="s">
        <v>17</v>
      </c>
      <c r="F31" s="7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>
      <c r="A32" s="167">
        <v>31</v>
      </c>
      <c r="B32" s="97" t="s">
        <v>241</v>
      </c>
      <c r="C32" s="97" t="s">
        <v>242</v>
      </c>
      <c r="D32" s="177"/>
      <c r="E32" s="42" t="s">
        <v>7</v>
      </c>
      <c r="F32" s="7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>
      <c r="A33" s="167">
        <v>32</v>
      </c>
      <c r="B33" s="45" t="s">
        <v>243</v>
      </c>
      <c r="C33" s="112" t="s">
        <v>244</v>
      </c>
      <c r="D33" s="81"/>
      <c r="E33" s="81" t="s">
        <v>7</v>
      </c>
      <c r="F33" s="7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>
      <c r="A34" s="167">
        <f t="shared" ref="A34:A50" si="0">A33+1</f>
        <v>33</v>
      </c>
      <c r="B34" s="45" t="s">
        <v>245</v>
      </c>
      <c r="C34" s="112" t="s">
        <v>246</v>
      </c>
      <c r="D34" s="178"/>
      <c r="E34" s="86" t="s">
        <v>17</v>
      </c>
      <c r="F34" s="7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>
      <c r="A35" s="167">
        <f t="shared" si="0"/>
        <v>34</v>
      </c>
      <c r="B35" s="45" t="s">
        <v>247</v>
      </c>
      <c r="C35" s="45" t="s">
        <v>248</v>
      </c>
      <c r="D35" s="172"/>
      <c r="E35" s="81" t="s">
        <v>17</v>
      </c>
      <c r="F35" s="7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>
      <c r="A36" s="167">
        <f t="shared" si="0"/>
        <v>35</v>
      </c>
      <c r="B36" s="45" t="s">
        <v>249</v>
      </c>
      <c r="C36" s="45" t="s">
        <v>250</v>
      </c>
      <c r="D36" s="179"/>
      <c r="E36" s="81" t="s">
        <v>7</v>
      </c>
      <c r="F36" s="180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>
      <c r="A37" s="167">
        <f t="shared" si="0"/>
        <v>36</v>
      </c>
      <c r="B37" s="181" t="s">
        <v>251</v>
      </c>
      <c r="C37" s="181" t="s">
        <v>252</v>
      </c>
      <c r="D37" s="182"/>
      <c r="E37" s="27" t="s">
        <v>7</v>
      </c>
      <c r="F37" s="72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75" customHeight="1">
      <c r="A38" s="167">
        <f t="shared" si="0"/>
        <v>37</v>
      </c>
      <c r="B38" s="45" t="s">
        <v>253</v>
      </c>
      <c r="C38" s="45" t="s">
        <v>254</v>
      </c>
      <c r="D38" s="86"/>
      <c r="E38" s="86" t="s">
        <v>7</v>
      </c>
      <c r="F38" s="9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5">
      <c r="A39" s="167">
        <f t="shared" si="0"/>
        <v>38</v>
      </c>
      <c r="B39" s="45" t="s">
        <v>255</v>
      </c>
      <c r="C39" s="45" t="s">
        <v>256</v>
      </c>
      <c r="D39" s="183"/>
      <c r="E39" s="27" t="s">
        <v>17</v>
      </c>
      <c r="F39" s="180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>
      <c r="A40" s="167">
        <f t="shared" si="0"/>
        <v>39</v>
      </c>
      <c r="B40" s="44" t="s">
        <v>257</v>
      </c>
      <c r="C40" s="103" t="s">
        <v>258</v>
      </c>
      <c r="D40" s="183"/>
      <c r="E40" s="27" t="s">
        <v>7</v>
      </c>
      <c r="F40" s="180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 spans="1:27" ht="15.75" customHeight="1">
      <c r="A41" s="167">
        <f t="shared" si="0"/>
        <v>40</v>
      </c>
      <c r="B41" s="44" t="s">
        <v>259</v>
      </c>
      <c r="C41" s="45" t="s">
        <v>260</v>
      </c>
      <c r="D41" s="183"/>
      <c r="E41" s="27" t="s">
        <v>17</v>
      </c>
      <c r="F41" s="180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75" customHeight="1">
      <c r="A42" s="167">
        <f t="shared" si="0"/>
        <v>41</v>
      </c>
      <c r="B42" s="45" t="s">
        <v>261</v>
      </c>
      <c r="C42" s="45" t="s">
        <v>262</v>
      </c>
      <c r="D42" s="183"/>
      <c r="E42" s="27" t="s">
        <v>7</v>
      </c>
      <c r="F42" s="180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 spans="1:27" ht="15.75" customHeight="1">
      <c r="A43" s="167">
        <f t="shared" si="0"/>
        <v>42</v>
      </c>
      <c r="B43" s="45" t="s">
        <v>263</v>
      </c>
      <c r="C43" s="112" t="s">
        <v>264</v>
      </c>
      <c r="D43" s="183"/>
      <c r="E43" s="27" t="s">
        <v>17</v>
      </c>
      <c r="F43" s="180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75" customHeight="1">
      <c r="A44" s="167">
        <f t="shared" si="0"/>
        <v>43</v>
      </c>
      <c r="B44" s="44" t="s">
        <v>265</v>
      </c>
      <c r="C44" s="103" t="s">
        <v>266</v>
      </c>
      <c r="D44" s="183"/>
      <c r="E44" s="27" t="s">
        <v>17</v>
      </c>
      <c r="F44" s="180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 spans="1:27" ht="15.75" customHeight="1">
      <c r="A45" s="167" t="e">
        <f>#REF!+1</f>
        <v>#REF!</v>
      </c>
      <c r="B45" s="45" t="s">
        <v>267</v>
      </c>
      <c r="C45" s="184" t="s">
        <v>268</v>
      </c>
      <c r="D45" s="183"/>
      <c r="E45" s="27" t="s">
        <v>7</v>
      </c>
      <c r="F45" s="180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75" customHeight="1">
      <c r="A46" s="167" t="e">
        <f t="shared" si="0"/>
        <v>#REF!</v>
      </c>
      <c r="B46" s="108" t="s">
        <v>269</v>
      </c>
      <c r="C46" s="97" t="s">
        <v>270</v>
      </c>
      <c r="D46" s="183"/>
      <c r="E46" s="27" t="s">
        <v>17</v>
      </c>
      <c r="F46" s="180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 spans="1:27" ht="15.75" customHeight="1">
      <c r="A47" s="167" t="e">
        <f t="shared" si="0"/>
        <v>#REF!</v>
      </c>
      <c r="B47" s="45" t="s">
        <v>271</v>
      </c>
      <c r="C47" s="45" t="s">
        <v>272</v>
      </c>
      <c r="D47" s="183"/>
      <c r="E47" s="27" t="s">
        <v>7</v>
      </c>
      <c r="F47" s="180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75" customHeight="1">
      <c r="A48" s="167" t="e">
        <f t="shared" si="0"/>
        <v>#REF!</v>
      </c>
      <c r="B48" s="97" t="s">
        <v>273</v>
      </c>
      <c r="C48" s="97" t="s">
        <v>274</v>
      </c>
      <c r="D48" s="183"/>
      <c r="E48" s="27" t="s">
        <v>7</v>
      </c>
      <c r="F48" s="180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 spans="1:27" ht="15.75" customHeight="1">
      <c r="A49" s="167" t="e">
        <f t="shared" si="0"/>
        <v>#REF!</v>
      </c>
      <c r="B49" s="45" t="s">
        <v>275</v>
      </c>
      <c r="C49" s="45" t="s">
        <v>276</v>
      </c>
      <c r="D49" s="183"/>
      <c r="E49" s="27" t="s">
        <v>17</v>
      </c>
      <c r="F49" s="180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75" customHeight="1">
      <c r="A50" s="167" t="e">
        <f t="shared" si="0"/>
        <v>#REF!</v>
      </c>
      <c r="B50" s="185" t="s">
        <v>277</v>
      </c>
      <c r="C50" s="185" t="s">
        <v>278</v>
      </c>
      <c r="D50" s="183"/>
      <c r="E50" s="27" t="s">
        <v>17</v>
      </c>
      <c r="F50" s="180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</row>
    <row r="51" spans="1:27" ht="15.75" customHeight="1">
      <c r="A51" s="186">
        <v>51</v>
      </c>
      <c r="B51" s="187" t="s">
        <v>279</v>
      </c>
      <c r="C51" s="188" t="s">
        <v>280</v>
      </c>
      <c r="D51" s="189"/>
      <c r="E51" s="190" t="s">
        <v>78</v>
      </c>
      <c r="F51" s="19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</row>
    <row r="52" spans="1:27" ht="15.75" customHeight="1"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 spans="1:27" ht="15.75" customHeight="1">
      <c r="A53" s="193"/>
      <c r="B53" s="194"/>
      <c r="C53" s="195"/>
      <c r="D53" s="196"/>
      <c r="E53" s="197"/>
      <c r="F53" s="193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75" customHeight="1">
      <c r="A54" s="46"/>
      <c r="B54" s="135"/>
      <c r="C54" s="143"/>
      <c r="D54" s="140"/>
      <c r="E54" s="50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 spans="1:27" ht="15.75" customHeight="1">
      <c r="A55" s="46"/>
      <c r="B55" s="135"/>
      <c r="C55" s="143"/>
      <c r="D55" s="140"/>
      <c r="E55" s="50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75" customHeight="1">
      <c r="A56" s="46"/>
      <c r="B56" s="135" t="s">
        <v>281</v>
      </c>
      <c r="C56" s="143"/>
      <c r="D56" s="140"/>
      <c r="E56" s="50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 spans="1:27" ht="15.75" customHeight="1">
      <c r="A57" s="46"/>
      <c r="B57" s="140" t="s">
        <v>177</v>
      </c>
      <c r="C57" s="143"/>
      <c r="D57" s="140" t="s">
        <v>35</v>
      </c>
      <c r="E57" s="50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75" customHeight="1">
      <c r="A58" s="198"/>
      <c r="B58" s="50" t="s">
        <v>36</v>
      </c>
      <c r="C58" s="143"/>
      <c r="D58" s="27" t="s">
        <v>36</v>
      </c>
      <c r="E58" s="27">
        <f>COUNTIF(E2:E34, "C")</f>
        <v>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>
      <c r="A59" s="3"/>
      <c r="B59" s="50" t="s">
        <v>37</v>
      </c>
      <c r="C59" s="143"/>
      <c r="D59" s="27" t="s">
        <v>37</v>
      </c>
      <c r="E59" s="27">
        <f>COUNTIF(E2:E50, "H")</f>
        <v>16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>
      <c r="A60" s="3"/>
      <c r="B60" s="50" t="s">
        <v>38</v>
      </c>
      <c r="C60" s="143"/>
      <c r="D60" s="27" t="s">
        <v>38</v>
      </c>
      <c r="E60" s="27">
        <f>COUNTIF(E2:E50, "M")</f>
        <v>26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>
      <c r="A61" s="50"/>
      <c r="B61" s="50" t="s">
        <v>39</v>
      </c>
      <c r="C61" s="143"/>
      <c r="D61" s="27" t="s">
        <v>39</v>
      </c>
      <c r="E61" s="27">
        <v>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>
      <c r="A62" s="50"/>
      <c r="B62" s="50" t="s">
        <v>40</v>
      </c>
      <c r="C62" s="143">
        <v>27</v>
      </c>
      <c r="D62" s="27" t="s">
        <v>40</v>
      </c>
      <c r="E62" s="27">
        <f>SUM(E58:E61)</f>
        <v>49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>
      <c r="A63" s="50"/>
      <c r="B63" s="50"/>
      <c r="C63" s="143"/>
      <c r="D63" s="143"/>
      <c r="E63" s="5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A64" s="50"/>
      <c r="B64" s="42"/>
      <c r="C64" s="81"/>
      <c r="D64" s="143"/>
      <c r="E64" s="5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>
      <c r="A65" s="50"/>
      <c r="B65" s="50"/>
      <c r="C65" s="143"/>
      <c r="D65" s="143"/>
      <c r="E65" s="5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50"/>
      <c r="B66" s="50"/>
      <c r="C66" s="143"/>
      <c r="D66" s="143"/>
      <c r="E66" s="5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50"/>
      <c r="B67" s="50"/>
      <c r="C67" s="143"/>
      <c r="D67" s="143"/>
      <c r="E67" s="5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50"/>
      <c r="B68" s="50"/>
      <c r="C68" s="143"/>
      <c r="D68" s="143"/>
      <c r="E68" s="5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50"/>
      <c r="B69" s="50"/>
      <c r="C69" s="143"/>
      <c r="D69" s="143"/>
      <c r="E69" s="5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50"/>
      <c r="B70" s="50"/>
      <c r="C70" s="143"/>
      <c r="D70" s="143"/>
      <c r="E70" s="5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50"/>
      <c r="B71" s="50"/>
      <c r="C71" s="143"/>
      <c r="D71" s="143"/>
      <c r="E71" s="5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50"/>
      <c r="B72" s="50"/>
      <c r="C72" s="143"/>
      <c r="D72" s="143"/>
      <c r="E72" s="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50"/>
      <c r="B73" s="50"/>
      <c r="C73" s="143"/>
      <c r="D73" s="143"/>
      <c r="E73" s="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50"/>
      <c r="B74" s="50"/>
      <c r="C74" s="143"/>
      <c r="D74" s="143"/>
      <c r="E74" s="5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50"/>
      <c r="B75" s="50"/>
      <c r="C75" s="143"/>
      <c r="D75" s="143"/>
      <c r="E75" s="5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50"/>
      <c r="B76" s="50"/>
      <c r="C76" s="143"/>
      <c r="D76" s="143"/>
      <c r="E76" s="5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50"/>
      <c r="B77" s="50"/>
      <c r="C77" s="143"/>
      <c r="D77" s="143"/>
      <c r="E77" s="5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50"/>
      <c r="B78" s="50"/>
      <c r="C78" s="143"/>
      <c r="D78" s="143"/>
      <c r="E78" s="5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50"/>
      <c r="B79" s="50"/>
      <c r="C79" s="143"/>
      <c r="D79" s="143"/>
      <c r="E79" s="5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50"/>
      <c r="B80" s="50"/>
      <c r="C80" s="143"/>
      <c r="D80" s="143"/>
      <c r="E80" s="5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50"/>
      <c r="B81" s="50"/>
      <c r="C81" s="143"/>
      <c r="D81" s="143"/>
      <c r="E81" s="5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>
      <c r="A82" s="50"/>
      <c r="B82" s="50"/>
      <c r="C82" s="143"/>
      <c r="D82" s="143"/>
      <c r="E82" s="5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>
      <c r="A83" s="50"/>
      <c r="B83" s="50"/>
      <c r="C83" s="143"/>
      <c r="D83" s="143"/>
      <c r="E83" s="5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>
      <c r="A84" s="50"/>
      <c r="B84" s="50"/>
      <c r="C84" s="143"/>
      <c r="D84" s="143"/>
      <c r="E84" s="5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>
      <c r="A85" s="50"/>
      <c r="B85" s="50"/>
      <c r="C85" s="143"/>
      <c r="D85" s="143"/>
      <c r="E85" s="5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50"/>
      <c r="B86" s="50"/>
      <c r="C86" s="143"/>
      <c r="D86" s="143"/>
      <c r="E86" s="5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50"/>
      <c r="B87" s="50"/>
      <c r="C87" s="143"/>
      <c r="D87" s="143"/>
      <c r="E87" s="5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50"/>
      <c r="B88" s="50"/>
      <c r="C88" s="143"/>
      <c r="D88" s="143"/>
      <c r="E88" s="5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50"/>
      <c r="B89" s="50"/>
      <c r="C89" s="143"/>
      <c r="D89" s="143"/>
      <c r="E89" s="5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>
      <c r="A90" s="50"/>
      <c r="B90" s="50"/>
      <c r="C90" s="143"/>
      <c r="D90" s="143"/>
      <c r="E90" s="5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>
      <c r="A91" s="50"/>
      <c r="B91" s="50"/>
      <c r="C91" s="143"/>
      <c r="D91" s="143"/>
      <c r="E91" s="5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>
      <c r="A92" s="50"/>
      <c r="B92" s="50"/>
      <c r="C92" s="143"/>
      <c r="D92" s="143"/>
      <c r="E92" s="5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>
      <c r="A93" s="50"/>
      <c r="B93" s="50"/>
      <c r="C93" s="143"/>
      <c r="D93" s="143"/>
      <c r="E93" s="5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>
      <c r="A94" s="50"/>
      <c r="B94" s="50"/>
      <c r="C94" s="143"/>
      <c r="D94" s="143"/>
      <c r="E94" s="5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>
      <c r="A95" s="50"/>
      <c r="B95" s="50"/>
      <c r="C95" s="143"/>
      <c r="D95" s="143"/>
      <c r="E95" s="5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>
      <c r="A96" s="50"/>
      <c r="B96" s="50"/>
      <c r="C96" s="143"/>
      <c r="D96" s="143"/>
      <c r="E96" s="5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>
      <c r="A97" s="50"/>
      <c r="B97" s="50"/>
      <c r="C97" s="143"/>
      <c r="D97" s="143"/>
      <c r="E97" s="5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>
      <c r="A98" s="50"/>
      <c r="B98" s="50"/>
      <c r="C98" s="143"/>
      <c r="D98" s="143"/>
      <c r="E98" s="5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>
      <c r="A99" s="50"/>
      <c r="B99" s="50"/>
      <c r="C99" s="143"/>
      <c r="D99" s="143"/>
      <c r="E99" s="5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>
      <c r="A100" s="50"/>
      <c r="B100" s="50"/>
      <c r="C100" s="143"/>
      <c r="D100" s="143"/>
      <c r="E100" s="5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>
      <c r="A101" s="50"/>
      <c r="B101" s="50"/>
      <c r="C101" s="143"/>
      <c r="D101" s="143"/>
      <c r="E101" s="5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50"/>
      <c r="B102" s="50"/>
      <c r="C102" s="143"/>
      <c r="D102" s="143"/>
      <c r="E102" s="5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>
      <c r="A103" s="50"/>
      <c r="B103" s="50"/>
      <c r="C103" s="143"/>
      <c r="D103" s="143"/>
      <c r="E103" s="5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>
      <c r="A104" s="50"/>
      <c r="B104" s="50"/>
      <c r="C104" s="143"/>
      <c r="D104" s="143"/>
      <c r="E104" s="5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>
      <c r="A105" s="50"/>
      <c r="B105" s="50"/>
      <c r="C105" s="143"/>
      <c r="D105" s="143"/>
      <c r="E105" s="5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>
      <c r="A106" s="50"/>
      <c r="B106" s="50"/>
      <c r="C106" s="143"/>
      <c r="D106" s="143"/>
      <c r="E106" s="5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>
      <c r="A107" s="50"/>
      <c r="B107" s="50"/>
      <c r="C107" s="143"/>
      <c r="D107" s="143"/>
      <c r="E107" s="5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>
      <c r="A108" s="50"/>
      <c r="B108" s="50"/>
      <c r="C108" s="143"/>
      <c r="D108" s="143"/>
      <c r="E108" s="5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>
      <c r="A109" s="50"/>
      <c r="B109" s="50"/>
      <c r="C109" s="143"/>
      <c r="D109" s="143"/>
      <c r="E109" s="5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>
      <c r="A110" s="50"/>
      <c r="B110" s="50"/>
      <c r="C110" s="143"/>
      <c r="D110" s="143"/>
      <c r="E110" s="5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>
      <c r="A111" s="50"/>
      <c r="B111" s="50"/>
      <c r="C111" s="143"/>
      <c r="D111" s="143"/>
      <c r="E111" s="5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>
      <c r="A112" s="50"/>
      <c r="B112" s="50"/>
      <c r="C112" s="143"/>
      <c r="D112" s="143"/>
      <c r="E112" s="5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>
      <c r="A113" s="50"/>
      <c r="B113" s="50"/>
      <c r="C113" s="143"/>
      <c r="D113" s="143"/>
      <c r="E113" s="5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>
      <c r="A114" s="50"/>
      <c r="B114" s="50"/>
      <c r="C114" s="143"/>
      <c r="D114" s="143"/>
      <c r="E114" s="5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>
      <c r="A115" s="50"/>
      <c r="B115" s="50"/>
      <c r="C115" s="143"/>
      <c r="D115" s="143"/>
      <c r="E115" s="5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>
      <c r="A116" s="50"/>
      <c r="B116" s="50"/>
      <c r="C116" s="143"/>
      <c r="D116" s="143"/>
      <c r="E116" s="5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>
      <c r="A117" s="50"/>
      <c r="B117" s="50"/>
      <c r="C117" s="143"/>
      <c r="D117" s="143"/>
      <c r="E117" s="5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>
      <c r="A118" s="50"/>
      <c r="B118" s="50"/>
      <c r="C118" s="143"/>
      <c r="D118" s="143"/>
      <c r="E118" s="5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>
      <c r="A119" s="50"/>
      <c r="B119" s="50"/>
      <c r="C119" s="143"/>
      <c r="D119" s="143"/>
      <c r="E119" s="5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>
      <c r="A120" s="50"/>
      <c r="B120" s="50"/>
      <c r="C120" s="143"/>
      <c r="D120" s="143"/>
      <c r="E120" s="5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50"/>
      <c r="B121" s="50"/>
      <c r="C121" s="143"/>
      <c r="D121" s="143"/>
      <c r="E121" s="5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50"/>
      <c r="B122" s="50"/>
      <c r="C122" s="143"/>
      <c r="D122" s="143"/>
      <c r="E122" s="5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50"/>
      <c r="B123" s="50"/>
      <c r="C123" s="143"/>
      <c r="D123" s="143"/>
      <c r="E123" s="5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50"/>
      <c r="B124" s="50"/>
      <c r="C124" s="143"/>
      <c r="D124" s="143"/>
      <c r="E124" s="5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50"/>
      <c r="B125" s="50"/>
      <c r="C125" s="143"/>
      <c r="D125" s="143"/>
      <c r="E125" s="5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50"/>
      <c r="B126" s="50"/>
      <c r="C126" s="143"/>
      <c r="D126" s="143"/>
      <c r="E126" s="5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50"/>
      <c r="B127" s="50"/>
      <c r="C127" s="143"/>
      <c r="D127" s="143"/>
      <c r="E127" s="5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50"/>
      <c r="B128" s="50"/>
      <c r="C128" s="143"/>
      <c r="D128" s="143"/>
      <c r="E128" s="5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50"/>
      <c r="B129" s="50"/>
      <c r="C129" s="143"/>
      <c r="D129" s="143"/>
      <c r="E129" s="5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50"/>
      <c r="B130" s="50"/>
      <c r="C130" s="143"/>
      <c r="D130" s="143"/>
      <c r="E130" s="5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50"/>
      <c r="B131" s="50"/>
      <c r="C131" s="143"/>
      <c r="D131" s="143"/>
      <c r="E131" s="5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50"/>
      <c r="B132" s="50"/>
      <c r="C132" s="143"/>
      <c r="D132" s="143"/>
      <c r="E132" s="5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50"/>
      <c r="B133" s="50"/>
      <c r="C133" s="143"/>
      <c r="D133" s="143"/>
      <c r="E133" s="5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50"/>
      <c r="B134" s="50"/>
      <c r="C134" s="143"/>
      <c r="D134" s="143"/>
      <c r="E134" s="5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50"/>
      <c r="B135" s="50"/>
      <c r="C135" s="143"/>
      <c r="D135" s="143"/>
      <c r="E135" s="5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50"/>
      <c r="B136" s="50"/>
      <c r="C136" s="143"/>
      <c r="D136" s="143"/>
      <c r="E136" s="5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>
      <c r="A137" s="50"/>
      <c r="B137" s="50"/>
      <c r="C137" s="143"/>
      <c r="D137" s="143"/>
      <c r="E137" s="5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>
      <c r="A138" s="50"/>
      <c r="B138" s="50"/>
      <c r="C138" s="143"/>
      <c r="D138" s="143"/>
      <c r="E138" s="5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>
      <c r="A139" s="50"/>
      <c r="B139" s="50"/>
      <c r="C139" s="143"/>
      <c r="D139" s="143"/>
      <c r="E139" s="5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>
      <c r="A140" s="50"/>
      <c r="B140" s="50"/>
      <c r="C140" s="143"/>
      <c r="D140" s="143"/>
      <c r="E140" s="5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>
      <c r="A141" s="50"/>
      <c r="B141" s="50"/>
      <c r="C141" s="143"/>
      <c r="D141" s="143"/>
      <c r="E141" s="5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>
      <c r="A142" s="50"/>
      <c r="B142" s="50"/>
      <c r="C142" s="143"/>
      <c r="D142" s="143"/>
      <c r="E142" s="5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>
      <c r="A143" s="50"/>
      <c r="B143" s="50"/>
      <c r="C143" s="143"/>
      <c r="D143" s="143"/>
      <c r="E143" s="5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>
      <c r="A144" s="50"/>
      <c r="B144" s="50"/>
      <c r="C144" s="143"/>
      <c r="D144" s="143"/>
      <c r="E144" s="5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>
      <c r="A145" s="50"/>
      <c r="B145" s="50"/>
      <c r="C145" s="143"/>
      <c r="D145" s="143"/>
      <c r="E145" s="5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>
      <c r="A146" s="50"/>
      <c r="B146" s="50"/>
      <c r="C146" s="143"/>
      <c r="D146" s="143"/>
      <c r="E146" s="5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>
      <c r="A147" s="50"/>
      <c r="B147" s="50"/>
      <c r="C147" s="143"/>
      <c r="D147" s="143"/>
      <c r="E147" s="5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>
      <c r="A148" s="50"/>
      <c r="B148" s="50"/>
      <c r="C148" s="143"/>
      <c r="D148" s="143"/>
      <c r="E148" s="5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>
      <c r="A149" s="50"/>
      <c r="B149" s="50"/>
      <c r="C149" s="143"/>
      <c r="D149" s="143"/>
      <c r="E149" s="5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>
      <c r="A150" s="50"/>
      <c r="B150" s="50"/>
      <c r="C150" s="143"/>
      <c r="D150" s="143"/>
      <c r="E150" s="5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>
      <c r="A151" s="50"/>
      <c r="B151" s="50"/>
      <c r="C151" s="143"/>
      <c r="D151" s="143"/>
      <c r="E151" s="5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>
      <c r="A152" s="50"/>
      <c r="B152" s="50"/>
      <c r="C152" s="143"/>
      <c r="D152" s="143"/>
      <c r="E152" s="5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>
      <c r="A153" s="50"/>
      <c r="B153" s="50"/>
      <c r="C153" s="143"/>
      <c r="D153" s="143"/>
      <c r="E153" s="5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>
      <c r="A154" s="50"/>
      <c r="B154" s="50"/>
      <c r="C154" s="143"/>
      <c r="D154" s="143"/>
      <c r="E154" s="5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>
      <c r="A155" s="50"/>
      <c r="B155" s="50"/>
      <c r="C155" s="143"/>
      <c r="D155" s="143"/>
      <c r="E155" s="5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>
      <c r="A156" s="50"/>
      <c r="B156" s="50"/>
      <c r="C156" s="143"/>
      <c r="D156" s="143"/>
      <c r="E156" s="5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>
      <c r="A157" s="50"/>
      <c r="B157" s="50"/>
      <c r="C157" s="143"/>
      <c r="D157" s="143"/>
      <c r="E157" s="5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>
      <c r="A158" s="50"/>
      <c r="B158" s="50"/>
      <c r="C158" s="143"/>
      <c r="D158" s="143"/>
      <c r="E158" s="5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>
      <c r="A159" s="50"/>
      <c r="B159" s="50"/>
      <c r="C159" s="143"/>
      <c r="D159" s="143"/>
      <c r="E159" s="5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>
      <c r="A160" s="50"/>
      <c r="B160" s="50"/>
      <c r="C160" s="143"/>
      <c r="D160" s="143"/>
      <c r="E160" s="5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>
      <c r="A161" s="50"/>
      <c r="B161" s="50"/>
      <c r="C161" s="143"/>
      <c r="D161" s="143"/>
      <c r="E161" s="5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>
      <c r="A162" s="50"/>
      <c r="B162" s="50"/>
      <c r="C162" s="143"/>
      <c r="D162" s="143"/>
      <c r="E162" s="5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>
      <c r="A163" s="50"/>
      <c r="B163" s="50"/>
      <c r="C163" s="143"/>
      <c r="D163" s="143"/>
      <c r="E163" s="5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>
      <c r="A164" s="50"/>
      <c r="B164" s="50"/>
      <c r="C164" s="143"/>
      <c r="D164" s="143"/>
      <c r="E164" s="5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>
      <c r="A165" s="50"/>
      <c r="B165" s="50"/>
      <c r="C165" s="143"/>
      <c r="D165" s="143"/>
      <c r="E165" s="5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>
      <c r="A166" s="50"/>
      <c r="B166" s="50"/>
      <c r="C166" s="143"/>
      <c r="D166" s="143"/>
      <c r="E166" s="5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>
      <c r="A167" s="50"/>
      <c r="B167" s="50"/>
      <c r="C167" s="143"/>
      <c r="D167" s="143"/>
      <c r="E167" s="5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>
      <c r="A168" s="50"/>
      <c r="B168" s="50"/>
      <c r="C168" s="143"/>
      <c r="D168" s="143"/>
      <c r="E168" s="5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>
      <c r="A169" s="50"/>
      <c r="B169" s="50"/>
      <c r="C169" s="143"/>
      <c r="D169" s="143"/>
      <c r="E169" s="5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>
      <c r="A170" s="50"/>
      <c r="B170" s="50"/>
      <c r="C170" s="143"/>
      <c r="D170" s="143"/>
      <c r="E170" s="5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>
      <c r="A171" s="50"/>
      <c r="B171" s="50"/>
      <c r="C171" s="143"/>
      <c r="D171" s="143"/>
      <c r="E171" s="5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>
      <c r="A172" s="50"/>
      <c r="B172" s="50"/>
      <c r="C172" s="143"/>
      <c r="D172" s="143"/>
      <c r="E172" s="5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>
      <c r="A173" s="50"/>
      <c r="B173" s="50"/>
      <c r="C173" s="143"/>
      <c r="D173" s="143"/>
      <c r="E173" s="5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>
      <c r="A174" s="50"/>
      <c r="B174" s="50"/>
      <c r="C174" s="143"/>
      <c r="D174" s="143"/>
      <c r="E174" s="5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>
      <c r="A175" s="50"/>
      <c r="B175" s="50"/>
      <c r="C175" s="143"/>
      <c r="D175" s="143"/>
      <c r="E175" s="5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>
      <c r="A176" s="50"/>
      <c r="B176" s="50"/>
      <c r="C176" s="143"/>
      <c r="D176" s="143"/>
      <c r="E176" s="5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>
      <c r="A177" s="50"/>
      <c r="B177" s="50"/>
      <c r="C177" s="143"/>
      <c r="D177" s="143"/>
      <c r="E177" s="5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>
      <c r="A178" s="50"/>
      <c r="B178" s="50"/>
      <c r="C178" s="143"/>
      <c r="D178" s="143"/>
      <c r="E178" s="5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>
      <c r="A179" s="50"/>
      <c r="B179" s="50"/>
      <c r="C179" s="143"/>
      <c r="D179" s="143"/>
      <c r="E179" s="5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>
      <c r="A180" s="50"/>
      <c r="B180" s="50"/>
      <c r="C180" s="143"/>
      <c r="D180" s="143"/>
      <c r="E180" s="5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>
      <c r="A181" s="50"/>
      <c r="B181" s="50"/>
      <c r="C181" s="143"/>
      <c r="D181" s="143"/>
      <c r="E181" s="5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>
      <c r="A182" s="50"/>
      <c r="B182" s="50"/>
      <c r="C182" s="143"/>
      <c r="D182" s="143"/>
      <c r="E182" s="5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>
      <c r="A183" s="50"/>
      <c r="B183" s="50"/>
      <c r="C183" s="143"/>
      <c r="D183" s="143"/>
      <c r="E183" s="5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>
      <c r="A184" s="50"/>
      <c r="B184" s="50"/>
      <c r="C184" s="143"/>
      <c r="D184" s="143"/>
      <c r="E184" s="5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>
      <c r="A185" s="50"/>
      <c r="B185" s="50"/>
      <c r="C185" s="143"/>
      <c r="D185" s="143"/>
      <c r="E185" s="5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>
      <c r="A186" s="50"/>
      <c r="B186" s="50"/>
      <c r="C186" s="143"/>
      <c r="D186" s="143"/>
      <c r="E186" s="5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>
      <c r="A187" s="50"/>
      <c r="B187" s="50"/>
      <c r="C187" s="143"/>
      <c r="D187" s="143"/>
      <c r="E187" s="5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>
      <c r="A188" s="50"/>
      <c r="B188" s="50"/>
      <c r="C188" s="143"/>
      <c r="D188" s="143"/>
      <c r="E188" s="5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>
      <c r="A189" s="50"/>
      <c r="B189" s="50"/>
      <c r="C189" s="143"/>
      <c r="D189" s="143"/>
      <c r="E189" s="5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>
      <c r="A190" s="50"/>
      <c r="B190" s="50"/>
      <c r="C190" s="143"/>
      <c r="D190" s="143"/>
      <c r="E190" s="5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>
      <c r="A191" s="50"/>
      <c r="B191" s="50"/>
      <c r="C191" s="143"/>
      <c r="D191" s="143"/>
      <c r="E191" s="5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>
      <c r="A192" s="50"/>
      <c r="B192" s="50"/>
      <c r="C192" s="143"/>
      <c r="D192" s="143"/>
      <c r="E192" s="5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>
      <c r="A193" s="50"/>
      <c r="B193" s="50"/>
      <c r="C193" s="143"/>
      <c r="D193" s="143"/>
      <c r="E193" s="5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>
      <c r="A194" s="50"/>
      <c r="B194" s="50"/>
      <c r="C194" s="143"/>
      <c r="D194" s="143"/>
      <c r="E194" s="5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>
      <c r="A195" s="50"/>
      <c r="B195" s="50"/>
      <c r="C195" s="143"/>
      <c r="D195" s="143"/>
      <c r="E195" s="5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>
      <c r="A196" s="50"/>
      <c r="B196" s="50"/>
      <c r="C196" s="143"/>
      <c r="D196" s="143"/>
      <c r="E196" s="5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>
      <c r="A197" s="50"/>
      <c r="B197" s="50"/>
      <c r="C197" s="143"/>
      <c r="D197" s="143"/>
      <c r="E197" s="5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>
      <c r="A198" s="50"/>
      <c r="B198" s="50"/>
      <c r="C198" s="143"/>
      <c r="D198" s="143"/>
      <c r="E198" s="5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>
      <c r="A199" s="50"/>
      <c r="B199" s="50"/>
      <c r="C199" s="143"/>
      <c r="D199" s="143"/>
      <c r="E199" s="5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>
      <c r="A200" s="50"/>
      <c r="B200" s="50"/>
      <c r="C200" s="143"/>
      <c r="D200" s="143"/>
      <c r="E200" s="5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>
      <c r="A201" s="50"/>
      <c r="B201" s="50"/>
      <c r="C201" s="143"/>
      <c r="D201" s="143"/>
      <c r="E201" s="5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>
      <c r="A202" s="50"/>
      <c r="B202" s="50"/>
      <c r="C202" s="143"/>
      <c r="D202" s="143"/>
      <c r="E202" s="5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>
      <c r="A203" s="50"/>
      <c r="B203" s="50"/>
      <c r="C203" s="143"/>
      <c r="D203" s="143"/>
      <c r="E203" s="5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>
      <c r="A204" s="50"/>
      <c r="B204" s="50"/>
      <c r="C204" s="143"/>
      <c r="D204" s="143"/>
      <c r="E204" s="5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>
      <c r="A205" s="50"/>
      <c r="B205" s="50"/>
      <c r="C205" s="143"/>
      <c r="D205" s="143"/>
      <c r="E205" s="5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>
      <c r="A206" s="50"/>
      <c r="B206" s="50"/>
      <c r="C206" s="143"/>
      <c r="D206" s="143"/>
      <c r="E206" s="5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>
      <c r="A207" s="50"/>
      <c r="B207" s="50"/>
      <c r="C207" s="143"/>
      <c r="D207" s="143"/>
      <c r="E207" s="5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>
      <c r="A208" s="50"/>
      <c r="B208" s="50"/>
      <c r="C208" s="143"/>
      <c r="D208" s="143"/>
      <c r="E208" s="5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>
      <c r="A209" s="50"/>
      <c r="B209" s="50"/>
      <c r="C209" s="143"/>
      <c r="D209" s="143"/>
      <c r="E209" s="5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>
      <c r="A210" s="50"/>
      <c r="B210" s="50"/>
      <c r="C210" s="143"/>
      <c r="D210" s="143"/>
      <c r="E210" s="5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>
      <c r="A211" s="50"/>
      <c r="B211" s="50"/>
      <c r="C211" s="143"/>
      <c r="D211" s="143"/>
      <c r="E211" s="5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>
      <c r="A212" s="50"/>
      <c r="B212" s="50"/>
      <c r="C212" s="143"/>
      <c r="D212" s="143"/>
      <c r="E212" s="5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>
      <c r="A213" s="50"/>
      <c r="B213" s="50"/>
      <c r="C213" s="143"/>
      <c r="D213" s="143"/>
      <c r="E213" s="5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>
      <c r="A214" s="50"/>
      <c r="B214" s="50"/>
      <c r="C214" s="143"/>
      <c r="D214" s="143"/>
      <c r="E214" s="5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>
      <c r="A215" s="50"/>
      <c r="B215" s="50"/>
      <c r="C215" s="143"/>
      <c r="D215" s="143"/>
      <c r="E215" s="5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>
      <c r="A216" s="50"/>
      <c r="B216" s="50"/>
      <c r="C216" s="143"/>
      <c r="D216" s="143"/>
      <c r="E216" s="5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>
      <c r="A217" s="50"/>
      <c r="B217" s="50"/>
      <c r="C217" s="143"/>
      <c r="D217" s="143"/>
      <c r="E217" s="5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>
      <c r="A218" s="50"/>
      <c r="B218" s="50"/>
      <c r="C218" s="143"/>
      <c r="D218" s="143"/>
      <c r="E218" s="5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>
      <c r="A219" s="50"/>
      <c r="B219" s="50"/>
      <c r="C219" s="143"/>
      <c r="D219" s="143"/>
      <c r="E219" s="5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50"/>
      <c r="B220" s="50"/>
      <c r="C220" s="143"/>
      <c r="D220" s="143"/>
      <c r="E220" s="5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>
      <c r="A221" s="50"/>
      <c r="B221" s="50"/>
      <c r="C221" s="143"/>
      <c r="D221" s="143"/>
      <c r="E221" s="5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>
      <c r="A222" s="50"/>
      <c r="B222" s="50"/>
      <c r="C222" s="143"/>
      <c r="D222" s="143"/>
      <c r="E222" s="5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>
      <c r="A223" s="50"/>
      <c r="B223" s="50"/>
      <c r="C223" s="143"/>
      <c r="D223" s="143"/>
      <c r="E223" s="5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>
      <c r="A224" s="50"/>
      <c r="B224" s="50"/>
      <c r="C224" s="143"/>
      <c r="D224" s="143"/>
      <c r="E224" s="5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>
      <c r="A225" s="50"/>
      <c r="B225" s="50"/>
      <c r="C225" s="143"/>
      <c r="D225" s="143"/>
      <c r="E225" s="5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>
      <c r="A226" s="50"/>
      <c r="B226" s="50"/>
      <c r="C226" s="143"/>
      <c r="D226" s="143"/>
      <c r="E226" s="5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>
      <c r="A227" s="50"/>
      <c r="B227" s="50"/>
      <c r="C227" s="143"/>
      <c r="D227" s="143"/>
      <c r="E227" s="5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>
      <c r="A228" s="50"/>
      <c r="B228" s="50"/>
      <c r="C228" s="143"/>
      <c r="D228" s="143"/>
      <c r="E228" s="5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>
      <c r="A229" s="50"/>
      <c r="B229" s="50"/>
      <c r="C229" s="143"/>
      <c r="D229" s="143"/>
      <c r="E229" s="5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>
      <c r="A230" s="50"/>
      <c r="B230" s="50"/>
      <c r="C230" s="143"/>
      <c r="D230" s="143"/>
      <c r="E230" s="5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>
      <c r="A231" s="50"/>
      <c r="B231" s="50"/>
      <c r="C231" s="143"/>
      <c r="D231" s="143"/>
      <c r="E231" s="5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>
      <c r="A232" s="50"/>
      <c r="B232" s="50"/>
      <c r="C232" s="143"/>
      <c r="D232" s="143"/>
      <c r="E232" s="5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>
      <c r="A233" s="50"/>
      <c r="B233" s="50"/>
      <c r="C233" s="143"/>
      <c r="D233" s="143"/>
      <c r="E233" s="5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>
      <c r="A234" s="50"/>
      <c r="B234" s="50"/>
      <c r="C234" s="143"/>
      <c r="D234" s="143"/>
      <c r="E234" s="5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>
      <c r="A235" s="50"/>
      <c r="B235" s="50"/>
      <c r="C235" s="143"/>
      <c r="D235" s="143"/>
      <c r="E235" s="5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>
      <c r="A236" s="50"/>
      <c r="B236" s="50"/>
      <c r="C236" s="143"/>
      <c r="D236" s="143"/>
      <c r="E236" s="5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>
      <c r="A237" s="50"/>
      <c r="B237" s="50"/>
      <c r="C237" s="143"/>
      <c r="D237" s="143"/>
      <c r="E237" s="5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>
      <c r="A238" s="50"/>
      <c r="B238" s="50"/>
      <c r="C238" s="143"/>
      <c r="D238" s="143"/>
      <c r="E238" s="5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>
      <c r="A239" s="50"/>
      <c r="B239" s="50"/>
      <c r="C239" s="143"/>
      <c r="D239" s="143"/>
      <c r="E239" s="5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>
      <c r="A240" s="50"/>
      <c r="B240" s="50"/>
      <c r="C240" s="143"/>
      <c r="D240" s="143"/>
      <c r="E240" s="5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>
      <c r="A241" s="50"/>
      <c r="B241" s="50"/>
      <c r="C241" s="143"/>
      <c r="D241" s="143"/>
      <c r="E241" s="5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>
      <c r="A242" s="50"/>
      <c r="B242" s="50"/>
      <c r="C242" s="143"/>
      <c r="D242" s="143"/>
      <c r="E242" s="5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>
      <c r="A243" s="50"/>
      <c r="B243" s="50"/>
      <c r="C243" s="143"/>
      <c r="D243" s="143"/>
      <c r="E243" s="5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>
      <c r="A244" s="50"/>
      <c r="B244" s="50"/>
      <c r="C244" s="143"/>
      <c r="D244" s="143"/>
      <c r="E244" s="5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>
      <c r="A245" s="50"/>
      <c r="B245" s="50"/>
      <c r="C245" s="143"/>
      <c r="D245" s="143"/>
      <c r="E245" s="5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>
      <c r="A246" s="50"/>
      <c r="B246" s="50"/>
      <c r="C246" s="143"/>
      <c r="D246" s="143"/>
      <c r="E246" s="5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>
      <c r="A247" s="50"/>
      <c r="B247" s="50"/>
      <c r="C247" s="143"/>
      <c r="D247" s="143"/>
      <c r="E247" s="5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>
      <c r="A248" s="50"/>
      <c r="B248" s="50"/>
      <c r="C248" s="143"/>
      <c r="D248" s="143"/>
      <c r="E248" s="5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>
      <c r="A249" s="50"/>
      <c r="B249" s="50"/>
      <c r="C249" s="143"/>
      <c r="D249" s="143"/>
      <c r="E249" s="5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>
      <c r="A250" s="50"/>
      <c r="B250" s="50"/>
      <c r="C250" s="143"/>
      <c r="D250" s="143"/>
      <c r="E250" s="5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>
      <c r="A251" s="50"/>
      <c r="B251" s="50"/>
      <c r="C251" s="143"/>
      <c r="D251" s="143"/>
      <c r="E251" s="5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>
      <c r="A252" s="50"/>
      <c r="B252" s="50"/>
      <c r="C252" s="143"/>
      <c r="D252" s="143"/>
      <c r="E252" s="5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>
      <c r="A253" s="50"/>
      <c r="B253" s="50"/>
      <c r="C253" s="143"/>
      <c r="D253" s="143"/>
      <c r="E253" s="5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>
      <c r="A254" s="50"/>
      <c r="B254" s="50"/>
      <c r="C254" s="143"/>
      <c r="D254" s="143"/>
      <c r="E254" s="5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>
      <c r="A255" s="50"/>
      <c r="B255" s="50"/>
      <c r="C255" s="143"/>
      <c r="D255" s="143"/>
      <c r="E255" s="5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>
      <c r="A256" s="50"/>
      <c r="B256" s="50"/>
      <c r="C256" s="143"/>
      <c r="D256" s="143"/>
      <c r="E256" s="5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>
      <c r="A257" s="50"/>
      <c r="B257" s="50"/>
      <c r="C257" s="143"/>
      <c r="D257" s="143"/>
      <c r="E257" s="5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>
      <c r="A258" s="50"/>
      <c r="B258" s="50"/>
      <c r="C258" s="143"/>
      <c r="D258" s="143"/>
      <c r="E258" s="5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>
      <c r="A259" s="50"/>
      <c r="B259" s="50"/>
      <c r="C259" s="143"/>
      <c r="D259" s="143"/>
      <c r="E259" s="5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>
      <c r="A260" s="50"/>
      <c r="B260" s="50"/>
      <c r="C260" s="143"/>
      <c r="D260" s="143"/>
      <c r="E260" s="5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>
      <c r="A261" s="50"/>
      <c r="B261" s="50"/>
      <c r="C261" s="143"/>
      <c r="D261" s="143"/>
      <c r="E261" s="50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>
      <c r="A262" s="50"/>
      <c r="B262" s="50"/>
      <c r="C262" s="143"/>
      <c r="D262" s="143"/>
      <c r="E262" s="5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/>
    <row r="264" spans="1:27" ht="15.75" customHeight="1"/>
    <row r="265" spans="1:27" ht="15.75" customHeight="1"/>
    <row r="266" spans="1:27" ht="15.75" customHeight="1"/>
    <row r="267" spans="1:27" ht="15.75" customHeight="1"/>
    <row r="268" spans="1:27" ht="15.75" customHeight="1"/>
    <row r="269" spans="1:27" ht="15.75" customHeight="1"/>
    <row r="270" spans="1:27" ht="15.75" customHeight="1"/>
    <row r="271" spans="1:27" ht="15.75" customHeight="1"/>
    <row r="272" spans="1:2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dataValidations count="1">
    <dataValidation type="list" allowBlank="1" showErrorMessage="1" sqref="E2:E51">
      <formula1>"COORD,C,M,H"</formula1>
    </dataValidation>
  </dataValidations>
  <pageMargins left="0.511811024" right="0.511811024" top="0.78740157499999996" bottom="0.78740157499999996" header="0" footer="0"/>
  <pageSetup orientation="landscape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  <outlinePr summaryBelow="0" summaryRight="0"/>
  </sheetPr>
  <dimension ref="A1:AA996"/>
  <sheetViews>
    <sheetView workbookViewId="0">
      <pane ySplit="1" topLeftCell="A2" activePane="bottomLeft" state="frozen"/>
      <selection pane="bottomLeft" activeCell="A30" sqref="A30:XFD30"/>
    </sheetView>
  </sheetViews>
  <sheetFormatPr defaultColWidth="14.453125" defaultRowHeight="15" customHeight="1"/>
  <cols>
    <col min="1" max="1" width="4.08984375" customWidth="1"/>
    <col min="2" max="2" width="66.81640625" customWidth="1"/>
    <col min="3" max="3" width="43.26953125" customWidth="1"/>
    <col min="4" max="4" width="34.453125" customWidth="1"/>
    <col min="5" max="5" width="12.81640625" customWidth="1"/>
    <col min="6" max="6" width="80.81640625" customWidth="1"/>
  </cols>
  <sheetData>
    <row r="1" spans="1:27" ht="15.75" customHeight="1">
      <c r="A1" s="1"/>
      <c r="B1" s="1" t="s">
        <v>1</v>
      </c>
      <c r="C1" s="1" t="s">
        <v>2</v>
      </c>
      <c r="D1" s="1" t="s">
        <v>27</v>
      </c>
      <c r="E1" s="1"/>
      <c r="F1" s="46"/>
      <c r="G1" s="46"/>
      <c r="H1" s="4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7" ht="15.75" customHeight="1">
      <c r="A2" s="4">
        <v>1</v>
      </c>
      <c r="B2" s="9" t="s">
        <v>282</v>
      </c>
      <c r="C2" s="31" t="s">
        <v>283</v>
      </c>
      <c r="D2" s="7"/>
      <c r="E2" s="7" t="s">
        <v>30</v>
      </c>
      <c r="F2" s="5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>
      <c r="A3" s="8">
        <v>2</v>
      </c>
      <c r="B3" s="9" t="s">
        <v>284</v>
      </c>
      <c r="C3" s="9" t="s">
        <v>285</v>
      </c>
      <c r="D3" s="199"/>
      <c r="E3" s="7" t="s">
        <v>30</v>
      </c>
      <c r="F3" s="5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55">
        <v>3</v>
      </c>
      <c r="B4" s="23" t="s">
        <v>286</v>
      </c>
      <c r="C4" s="23" t="s">
        <v>287</v>
      </c>
      <c r="D4" s="57"/>
      <c r="E4" s="56" t="s">
        <v>78</v>
      </c>
      <c r="F4" s="16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55">
        <v>4</v>
      </c>
      <c r="B5" s="23" t="s">
        <v>288</v>
      </c>
      <c r="C5" s="23" t="s">
        <v>289</v>
      </c>
      <c r="D5" s="57"/>
      <c r="E5" s="56" t="s">
        <v>78</v>
      </c>
      <c r="F5" s="160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55">
        <v>5</v>
      </c>
      <c r="B6" s="23" t="s">
        <v>290</v>
      </c>
      <c r="C6" s="69" t="s">
        <v>291</v>
      </c>
      <c r="D6" s="200"/>
      <c r="E6" s="201" t="s">
        <v>78</v>
      </c>
      <c r="F6" s="160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55">
        <v>6</v>
      </c>
      <c r="B7" s="23" t="s">
        <v>292</v>
      </c>
      <c r="C7" s="56" t="s">
        <v>293</v>
      </c>
      <c r="D7" s="202"/>
      <c r="E7" s="33" t="s">
        <v>78</v>
      </c>
      <c r="F7" s="16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38">
        <v>9</v>
      </c>
      <c r="B8" s="39" t="s">
        <v>294</v>
      </c>
      <c r="C8" s="39" t="s">
        <v>295</v>
      </c>
      <c r="D8" s="203"/>
      <c r="E8" s="79" t="s">
        <v>7</v>
      </c>
      <c r="F8" s="7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204">
        <v>10</v>
      </c>
      <c r="B9" s="45" t="s">
        <v>296</v>
      </c>
      <c r="C9" s="45" t="s">
        <v>297</v>
      </c>
      <c r="D9" s="203"/>
      <c r="E9" s="79" t="s">
        <v>7</v>
      </c>
      <c r="F9" s="20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204">
        <v>11</v>
      </c>
      <c r="B10" s="45" t="s">
        <v>298</v>
      </c>
      <c r="C10" s="112" t="s">
        <v>299</v>
      </c>
      <c r="D10" s="206"/>
      <c r="E10" s="79" t="s">
        <v>7</v>
      </c>
      <c r="F10" s="20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204">
        <v>12</v>
      </c>
      <c r="B11" s="44" t="s">
        <v>300</v>
      </c>
      <c r="C11" s="105" t="s">
        <v>301</v>
      </c>
      <c r="D11" s="207"/>
      <c r="E11" s="208" t="s">
        <v>7</v>
      </c>
      <c r="F11" s="20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204">
        <v>13</v>
      </c>
      <c r="B12" s="45" t="s">
        <v>302</v>
      </c>
      <c r="C12" s="45" t="s">
        <v>303</v>
      </c>
      <c r="D12" s="110"/>
      <c r="E12" s="42" t="s">
        <v>17</v>
      </c>
      <c r="F12" s="20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38">
        <v>14</v>
      </c>
      <c r="B13" s="45" t="s">
        <v>304</v>
      </c>
      <c r="C13" s="45" t="s">
        <v>305</v>
      </c>
      <c r="D13" s="203"/>
      <c r="E13" s="79" t="s">
        <v>17</v>
      </c>
      <c r="F13" s="20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38">
        <v>15</v>
      </c>
      <c r="B14" s="45" t="s">
        <v>306</v>
      </c>
      <c r="C14" s="45" t="s">
        <v>307</v>
      </c>
      <c r="D14" s="203"/>
      <c r="E14" s="79" t="s">
        <v>7</v>
      </c>
      <c r="F14" s="20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38">
        <v>16</v>
      </c>
      <c r="B15" s="45" t="s">
        <v>308</v>
      </c>
      <c r="C15" s="45" t="s">
        <v>309</v>
      </c>
      <c r="D15" s="79"/>
      <c r="E15" s="208" t="s">
        <v>7</v>
      </c>
      <c r="F15" s="20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38">
        <v>17</v>
      </c>
      <c r="B16" s="45" t="s">
        <v>310</v>
      </c>
      <c r="C16" s="45" t="s">
        <v>311</v>
      </c>
      <c r="D16" s="36"/>
      <c r="E16" s="42" t="s">
        <v>17</v>
      </c>
      <c r="F16" s="20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38">
        <v>18</v>
      </c>
      <c r="B17" s="103" t="s">
        <v>312</v>
      </c>
      <c r="C17" s="103" t="s">
        <v>313</v>
      </c>
      <c r="D17" s="168"/>
      <c r="E17" s="42" t="s">
        <v>17</v>
      </c>
      <c r="F17" s="20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38">
        <v>19</v>
      </c>
      <c r="B18" s="45" t="s">
        <v>314</v>
      </c>
      <c r="C18" s="45" t="s">
        <v>315</v>
      </c>
      <c r="D18" s="203"/>
      <c r="E18" s="79" t="s">
        <v>17</v>
      </c>
      <c r="F18" s="20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38">
        <v>20</v>
      </c>
      <c r="B19" s="45" t="s">
        <v>316</v>
      </c>
      <c r="C19" s="45" t="s">
        <v>317</v>
      </c>
      <c r="D19" s="168"/>
      <c r="E19" s="209" t="s">
        <v>7</v>
      </c>
      <c r="F19" s="20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38">
        <v>21</v>
      </c>
      <c r="B20" s="45" t="s">
        <v>318</v>
      </c>
      <c r="C20" s="112" t="s">
        <v>319</v>
      </c>
      <c r="D20" s="109"/>
      <c r="E20" s="42" t="s">
        <v>7</v>
      </c>
      <c r="F20" s="20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8">
        <v>19</v>
      </c>
      <c r="B21" s="45" t="s">
        <v>320</v>
      </c>
      <c r="C21" s="45" t="s">
        <v>321</v>
      </c>
      <c r="D21" s="109"/>
      <c r="E21" s="110" t="s">
        <v>7</v>
      </c>
      <c r="F21" s="20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8">
        <v>10</v>
      </c>
      <c r="B22" s="45" t="s">
        <v>322</v>
      </c>
      <c r="C22" s="45" t="s">
        <v>323</v>
      </c>
      <c r="D22" s="79"/>
      <c r="E22" s="79" t="s">
        <v>7</v>
      </c>
      <c r="F22" s="20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204">
        <v>24</v>
      </c>
      <c r="B23" s="45" t="s">
        <v>324</v>
      </c>
      <c r="C23" s="45" t="s">
        <v>325</v>
      </c>
      <c r="D23" s="82"/>
      <c r="E23" s="91" t="s">
        <v>17</v>
      </c>
      <c r="F23" s="20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210">
        <v>32</v>
      </c>
      <c r="B24" s="45" t="s">
        <v>326</v>
      </c>
      <c r="C24" s="45" t="s">
        <v>327</v>
      </c>
      <c r="D24" s="109"/>
      <c r="E24" s="90" t="s">
        <v>7</v>
      </c>
      <c r="F24" s="109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spans="1:27" ht="15.75" customHeight="1">
      <c r="A25" s="204">
        <v>28</v>
      </c>
      <c r="B25" s="45" t="s">
        <v>328</v>
      </c>
      <c r="C25" s="45" t="s">
        <v>329</v>
      </c>
      <c r="D25" s="109"/>
      <c r="E25" s="211" t="s">
        <v>7</v>
      </c>
      <c r="F25" s="16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204">
        <v>29</v>
      </c>
      <c r="B26" s="45" t="s">
        <v>330</v>
      </c>
      <c r="C26" s="45">
        <v>83993718578</v>
      </c>
      <c r="D26" s="109"/>
      <c r="E26" s="212" t="s">
        <v>17</v>
      </c>
      <c r="F26" s="20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204">
        <v>30</v>
      </c>
      <c r="B27" s="45" t="s">
        <v>331</v>
      </c>
      <c r="C27" s="45" t="s">
        <v>332</v>
      </c>
      <c r="D27" s="203"/>
      <c r="E27" s="213" t="s">
        <v>17</v>
      </c>
      <c r="F27" s="20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204">
        <v>31</v>
      </c>
      <c r="B28" s="45" t="s">
        <v>333</v>
      </c>
      <c r="C28" s="45" t="s">
        <v>334</v>
      </c>
      <c r="D28" s="168"/>
      <c r="E28" s="214" t="s">
        <v>7</v>
      </c>
      <c r="F28" s="20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>
      <c r="A29" s="204">
        <v>33</v>
      </c>
      <c r="B29" s="45" t="s">
        <v>335</v>
      </c>
      <c r="C29" s="45" t="s">
        <v>336</v>
      </c>
      <c r="D29" s="109"/>
      <c r="E29" s="215" t="s">
        <v>17</v>
      </c>
      <c r="F29" s="20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>
      <c r="A30" s="216">
        <v>35</v>
      </c>
      <c r="B30" s="44" t="s">
        <v>337</v>
      </c>
      <c r="C30" s="44" t="s">
        <v>338</v>
      </c>
      <c r="D30" s="109"/>
      <c r="E30" s="211" t="s">
        <v>17</v>
      </c>
      <c r="F30" s="20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>
      <c r="A31" s="35">
        <v>36</v>
      </c>
      <c r="B31" s="45" t="s">
        <v>339</v>
      </c>
      <c r="C31" s="45" t="s">
        <v>340</v>
      </c>
      <c r="D31" s="109"/>
      <c r="E31" s="110" t="s">
        <v>17</v>
      </c>
      <c r="F31" s="20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>
      <c r="A32" s="35">
        <v>37</v>
      </c>
      <c r="B32" s="45" t="s">
        <v>341</v>
      </c>
      <c r="C32" s="45" t="s">
        <v>342</v>
      </c>
      <c r="D32" s="109"/>
      <c r="E32" s="211" t="s">
        <v>7</v>
      </c>
      <c r="F32" s="20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>
      <c r="A33" s="35">
        <v>38</v>
      </c>
      <c r="B33" s="45" t="s">
        <v>343</v>
      </c>
      <c r="C33" s="112" t="s">
        <v>344</v>
      </c>
      <c r="D33" s="109"/>
      <c r="E33" s="110" t="s">
        <v>7</v>
      </c>
      <c r="F33" s="20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75" customHeight="1">
      <c r="A34" s="35">
        <v>39</v>
      </c>
      <c r="B34" s="45" t="s">
        <v>345</v>
      </c>
      <c r="C34" s="45" t="s">
        <v>346</v>
      </c>
      <c r="D34" s="109"/>
      <c r="E34" s="211" t="s">
        <v>17</v>
      </c>
      <c r="F34" s="72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 spans="1:27" ht="15.75" customHeight="1">
      <c r="A35" s="217">
        <v>40</v>
      </c>
      <c r="B35" s="218" t="s">
        <v>347</v>
      </c>
      <c r="C35" s="218" t="s">
        <v>348</v>
      </c>
      <c r="D35" s="189"/>
      <c r="E35" s="219" t="s">
        <v>78</v>
      </c>
      <c r="F35" s="220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</row>
    <row r="36" spans="1:27" ht="15.75" customHeight="1">
      <c r="A36" s="35"/>
      <c r="B36" s="110"/>
      <c r="C36" s="110"/>
      <c r="D36" s="109"/>
      <c r="E36" s="110"/>
      <c r="F36" s="72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 spans="1:27" ht="15.75" customHeight="1">
      <c r="A37" s="35"/>
      <c r="B37" s="110"/>
      <c r="C37" s="110"/>
      <c r="D37" s="221"/>
      <c r="E37" s="110"/>
      <c r="F37" s="72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75" customHeight="1">
      <c r="A38" s="222"/>
      <c r="B38" s="110"/>
      <c r="C38" s="110"/>
      <c r="D38" s="109"/>
      <c r="E38" s="110"/>
      <c r="F38" s="72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 spans="1:27" ht="15.75" customHeight="1">
      <c r="A39" s="223"/>
      <c r="B39" s="110"/>
      <c r="C39" s="110"/>
      <c r="D39" s="109"/>
      <c r="E39" s="110"/>
      <c r="F39" s="72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75" customHeight="1">
      <c r="A40" s="224"/>
      <c r="B40" s="50"/>
      <c r="C40" s="50"/>
      <c r="D40" s="50"/>
      <c r="E40" s="50"/>
      <c r="F40" s="225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 spans="1:27" ht="15.75" customHeight="1">
      <c r="A41" s="224"/>
      <c r="B41" s="50"/>
      <c r="C41" s="50"/>
      <c r="D41" s="50"/>
      <c r="E41" s="50"/>
      <c r="F41" s="225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75" customHeight="1">
      <c r="A42" s="11"/>
      <c r="B42" s="135" t="s">
        <v>349</v>
      </c>
      <c r="C42" s="50"/>
      <c r="D42" s="50"/>
      <c r="E42" s="50"/>
      <c r="F42" s="50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 spans="1:27" ht="15.75" customHeight="1">
      <c r="A43" s="11"/>
      <c r="B43" s="140" t="s">
        <v>177</v>
      </c>
      <c r="C43" s="50"/>
      <c r="D43" s="142" t="s">
        <v>35</v>
      </c>
      <c r="E43" s="50"/>
      <c r="F43" s="5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>
      <c r="A44" s="50"/>
      <c r="B44" s="50" t="s">
        <v>350</v>
      </c>
      <c r="C44" s="143">
        <v>4</v>
      </c>
      <c r="D44" s="27" t="s">
        <v>36</v>
      </c>
      <c r="E44" s="27">
        <f>COUNTIF(E2:E30, "C")</f>
        <v>4</v>
      </c>
      <c r="F44" s="5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>
      <c r="A45" s="50"/>
      <c r="B45" s="50" t="s">
        <v>37</v>
      </c>
      <c r="C45" s="143"/>
      <c r="D45" s="27" t="s">
        <v>37</v>
      </c>
      <c r="E45" s="27">
        <f>COUNTIF(E2:E37, "H")</f>
        <v>15</v>
      </c>
      <c r="F45" s="5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>
      <c r="A46" s="50"/>
      <c r="B46" s="50" t="s">
        <v>38</v>
      </c>
      <c r="C46" s="143"/>
      <c r="D46" s="27" t="s">
        <v>38</v>
      </c>
      <c r="E46" s="27">
        <f>COUNTIF(E2:E37, "M")</f>
        <v>12</v>
      </c>
      <c r="F46" s="5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>
      <c r="A47" s="50"/>
      <c r="B47" s="50" t="s">
        <v>179</v>
      </c>
      <c r="C47" s="143">
        <v>2</v>
      </c>
      <c r="D47" s="27" t="s">
        <v>39</v>
      </c>
      <c r="E47" s="27">
        <f>COUNTIF(E2:E30, "Coord")</f>
        <v>2</v>
      </c>
      <c r="F47" s="5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>
      <c r="A48" s="50"/>
      <c r="B48" s="50" t="s">
        <v>351</v>
      </c>
      <c r="C48" s="143">
        <v>35</v>
      </c>
      <c r="D48" s="27" t="s">
        <v>40</v>
      </c>
      <c r="E48" s="27">
        <f>SUM(E44:E47)</f>
        <v>33</v>
      </c>
      <c r="F48" s="5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>
      <c r="A49" s="50"/>
      <c r="B49" s="50"/>
      <c r="C49" s="143"/>
      <c r="D49" s="50"/>
      <c r="E49" s="50"/>
      <c r="F49" s="5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>
      <c r="A50" s="46"/>
      <c r="B50" s="3"/>
      <c r="C50" s="3"/>
      <c r="D50" s="3"/>
      <c r="E50" s="5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>
      <c r="A51" s="46"/>
      <c r="B51" s="3"/>
      <c r="C51" s="3"/>
      <c r="D51" s="3"/>
      <c r="E51" s="5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>
      <c r="A52" s="46"/>
      <c r="B52" s="3"/>
      <c r="C52" s="3"/>
      <c r="D52" s="3"/>
      <c r="E52" s="5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>
      <c r="A53" s="46"/>
      <c r="B53" s="3"/>
      <c r="C53" s="3"/>
      <c r="D53" s="3"/>
      <c r="E53" s="5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>
      <c r="A54" s="46"/>
      <c r="B54" s="3"/>
      <c r="C54" s="3"/>
      <c r="D54" s="3"/>
      <c r="E54" s="5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>
      <c r="A55" s="46"/>
      <c r="B55" s="3"/>
      <c r="C55" s="3"/>
      <c r="D55" s="3"/>
      <c r="E55" s="5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>
      <c r="A56" s="46"/>
      <c r="B56" s="3"/>
      <c r="C56" s="3"/>
      <c r="D56" s="3"/>
      <c r="E56" s="50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>
      <c r="A57" s="46"/>
      <c r="B57" s="3"/>
      <c r="C57" s="3"/>
      <c r="D57" s="3"/>
      <c r="E57" s="5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>
      <c r="A58" s="46"/>
      <c r="B58" s="3"/>
      <c r="C58" s="3"/>
      <c r="D58" s="3"/>
      <c r="E58" s="5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>
      <c r="A59" s="46"/>
      <c r="B59" s="3"/>
      <c r="C59" s="3"/>
      <c r="D59" s="3"/>
      <c r="E59" s="5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>
      <c r="A60" s="46"/>
      <c r="B60" s="3"/>
      <c r="C60" s="3"/>
      <c r="D60" s="3"/>
      <c r="E60" s="5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>
      <c r="A61" s="46"/>
      <c r="B61" s="3"/>
      <c r="C61" s="3"/>
      <c r="D61" s="3"/>
      <c r="E61" s="5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>
      <c r="A62" s="46"/>
      <c r="B62" s="3"/>
      <c r="C62" s="3"/>
      <c r="D62" s="3"/>
      <c r="E62" s="5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>
      <c r="A63" s="46"/>
      <c r="B63" s="3"/>
      <c r="C63" s="3"/>
      <c r="D63" s="3"/>
      <c r="E63" s="5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A64" s="46"/>
      <c r="B64" s="3"/>
      <c r="C64" s="3"/>
      <c r="D64" s="3"/>
      <c r="E64" s="5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>
      <c r="A65" s="46"/>
      <c r="B65" s="3"/>
      <c r="C65" s="3"/>
      <c r="D65" s="3"/>
      <c r="E65" s="5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46"/>
      <c r="B66" s="3"/>
      <c r="C66" s="3"/>
      <c r="D66" s="3"/>
      <c r="E66" s="5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46"/>
      <c r="B67" s="3"/>
      <c r="C67" s="3"/>
      <c r="D67" s="3"/>
      <c r="E67" s="5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46"/>
      <c r="B68" s="3"/>
      <c r="C68" s="3"/>
      <c r="D68" s="3"/>
      <c r="E68" s="5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46"/>
      <c r="B69" s="3"/>
      <c r="C69" s="3"/>
      <c r="D69" s="3"/>
      <c r="E69" s="5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46"/>
      <c r="B70" s="3"/>
      <c r="C70" s="3"/>
      <c r="D70" s="3"/>
      <c r="E70" s="5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46"/>
      <c r="B71" s="3"/>
      <c r="C71" s="3"/>
      <c r="D71" s="3"/>
      <c r="E71" s="5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46"/>
      <c r="B72" s="3"/>
      <c r="C72" s="3"/>
      <c r="D72" s="3"/>
      <c r="E72" s="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46"/>
      <c r="B73" s="3"/>
      <c r="C73" s="3"/>
      <c r="D73" s="3"/>
      <c r="E73" s="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46"/>
      <c r="B74" s="3"/>
      <c r="C74" s="3"/>
      <c r="D74" s="3"/>
      <c r="E74" s="5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46"/>
      <c r="B75" s="3"/>
      <c r="C75" s="3"/>
      <c r="D75" s="3"/>
      <c r="E75" s="5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46"/>
      <c r="B76" s="3"/>
      <c r="C76" s="3"/>
      <c r="D76" s="3"/>
      <c r="E76" s="5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46"/>
      <c r="B77" s="3"/>
      <c r="C77" s="3"/>
      <c r="D77" s="3"/>
      <c r="E77" s="5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46"/>
      <c r="B78" s="3"/>
      <c r="C78" s="3"/>
      <c r="D78" s="3"/>
      <c r="E78" s="5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46"/>
      <c r="B79" s="3"/>
      <c r="C79" s="3"/>
      <c r="D79" s="3"/>
      <c r="E79" s="5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46"/>
      <c r="B80" s="3"/>
      <c r="C80" s="3"/>
      <c r="D80" s="3"/>
      <c r="E80" s="5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46"/>
      <c r="B81" s="3"/>
      <c r="C81" s="3"/>
      <c r="D81" s="3"/>
      <c r="E81" s="5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>
      <c r="A82" s="46"/>
      <c r="B82" s="3"/>
      <c r="C82" s="3"/>
      <c r="D82" s="3"/>
      <c r="E82" s="5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>
      <c r="A83" s="46"/>
      <c r="B83" s="3"/>
      <c r="C83" s="3"/>
      <c r="D83" s="3"/>
      <c r="E83" s="5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>
      <c r="A84" s="46"/>
      <c r="B84" s="3"/>
      <c r="C84" s="3"/>
      <c r="D84" s="3"/>
      <c r="E84" s="5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>
      <c r="A85" s="46"/>
      <c r="B85" s="3"/>
      <c r="C85" s="3"/>
      <c r="D85" s="3"/>
      <c r="E85" s="5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46"/>
      <c r="B86" s="3"/>
      <c r="C86" s="3"/>
      <c r="D86" s="3"/>
      <c r="E86" s="5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46"/>
      <c r="B87" s="3"/>
      <c r="C87" s="3"/>
      <c r="D87" s="3"/>
      <c r="E87" s="5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46"/>
      <c r="B88" s="3"/>
      <c r="C88" s="3"/>
      <c r="D88" s="3"/>
      <c r="E88" s="5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46"/>
      <c r="B89" s="3"/>
      <c r="C89" s="3"/>
      <c r="D89" s="3"/>
      <c r="E89" s="5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>
      <c r="A90" s="46"/>
      <c r="B90" s="3"/>
      <c r="C90" s="3"/>
      <c r="D90" s="3"/>
      <c r="E90" s="5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>
      <c r="A91" s="46"/>
      <c r="B91" s="3"/>
      <c r="C91" s="3"/>
      <c r="D91" s="3"/>
      <c r="E91" s="5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>
      <c r="A92" s="46"/>
      <c r="B92" s="3"/>
      <c r="C92" s="3"/>
      <c r="D92" s="3"/>
      <c r="E92" s="5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>
      <c r="A93" s="46"/>
      <c r="B93" s="3"/>
      <c r="C93" s="3"/>
      <c r="D93" s="3"/>
      <c r="E93" s="5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>
      <c r="A94" s="46"/>
      <c r="B94" s="3"/>
      <c r="C94" s="3"/>
      <c r="D94" s="3"/>
      <c r="E94" s="5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>
      <c r="A95" s="46"/>
      <c r="B95" s="3"/>
      <c r="C95" s="3"/>
      <c r="D95" s="3"/>
      <c r="E95" s="5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>
      <c r="A96" s="46"/>
      <c r="B96" s="3"/>
      <c r="C96" s="3"/>
      <c r="D96" s="3"/>
      <c r="E96" s="5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>
      <c r="A97" s="46"/>
      <c r="B97" s="3"/>
      <c r="C97" s="3"/>
      <c r="D97" s="3"/>
      <c r="E97" s="5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>
      <c r="A98" s="46"/>
      <c r="B98" s="3"/>
      <c r="C98" s="3"/>
      <c r="D98" s="3"/>
      <c r="E98" s="5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>
      <c r="A99" s="46"/>
      <c r="B99" s="3"/>
      <c r="C99" s="3"/>
      <c r="D99" s="3"/>
      <c r="E99" s="5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>
      <c r="A100" s="46"/>
      <c r="B100" s="3"/>
      <c r="C100" s="3"/>
      <c r="D100" s="3"/>
      <c r="E100" s="5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>
      <c r="A101" s="46"/>
      <c r="B101" s="3"/>
      <c r="C101" s="3"/>
      <c r="D101" s="3"/>
      <c r="E101" s="5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46"/>
      <c r="B102" s="3"/>
      <c r="C102" s="3"/>
      <c r="D102" s="3"/>
      <c r="E102" s="5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>
      <c r="A103" s="46"/>
      <c r="B103" s="3"/>
      <c r="C103" s="3"/>
      <c r="D103" s="3"/>
      <c r="E103" s="5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>
      <c r="A104" s="46"/>
      <c r="B104" s="3"/>
      <c r="C104" s="3"/>
      <c r="D104" s="3"/>
      <c r="E104" s="5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>
      <c r="A105" s="46"/>
      <c r="B105" s="3"/>
      <c r="C105" s="3"/>
      <c r="D105" s="3"/>
      <c r="E105" s="5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>
      <c r="A106" s="46"/>
      <c r="B106" s="3"/>
      <c r="C106" s="3"/>
      <c r="D106" s="3"/>
      <c r="E106" s="5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>
      <c r="A107" s="46"/>
      <c r="B107" s="3"/>
      <c r="C107" s="3"/>
      <c r="D107" s="3"/>
      <c r="E107" s="5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>
      <c r="A108" s="46"/>
      <c r="B108" s="3"/>
      <c r="C108" s="3"/>
      <c r="D108" s="3"/>
      <c r="E108" s="5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>
      <c r="A109" s="46"/>
      <c r="B109" s="3"/>
      <c r="C109" s="3"/>
      <c r="D109" s="3"/>
      <c r="E109" s="5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>
      <c r="A110" s="46"/>
      <c r="B110" s="3"/>
      <c r="C110" s="3"/>
      <c r="D110" s="3"/>
      <c r="E110" s="5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>
      <c r="A111" s="46"/>
      <c r="B111" s="3"/>
      <c r="C111" s="3"/>
      <c r="D111" s="3"/>
      <c r="E111" s="5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>
      <c r="A112" s="46"/>
      <c r="B112" s="3"/>
      <c r="C112" s="3"/>
      <c r="D112" s="3"/>
      <c r="E112" s="5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>
      <c r="A113" s="46"/>
      <c r="B113" s="3"/>
      <c r="C113" s="3"/>
      <c r="D113" s="3"/>
      <c r="E113" s="5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>
      <c r="A114" s="46"/>
      <c r="B114" s="3"/>
      <c r="C114" s="3"/>
      <c r="D114" s="3"/>
      <c r="E114" s="5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>
      <c r="A115" s="46"/>
      <c r="B115" s="3"/>
      <c r="C115" s="3"/>
      <c r="D115" s="3"/>
      <c r="E115" s="5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>
      <c r="A116" s="46"/>
      <c r="B116" s="3"/>
      <c r="C116" s="3"/>
      <c r="D116" s="3"/>
      <c r="E116" s="5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>
      <c r="A117" s="46"/>
      <c r="B117" s="3"/>
      <c r="C117" s="3"/>
      <c r="D117" s="3"/>
      <c r="E117" s="5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>
      <c r="A118" s="46"/>
      <c r="B118" s="3"/>
      <c r="C118" s="3"/>
      <c r="D118" s="3"/>
      <c r="E118" s="5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>
      <c r="A119" s="46"/>
      <c r="B119" s="3"/>
      <c r="C119" s="3"/>
      <c r="D119" s="3"/>
      <c r="E119" s="5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>
      <c r="A120" s="46"/>
      <c r="B120" s="3"/>
      <c r="C120" s="3"/>
      <c r="D120" s="3"/>
      <c r="E120" s="5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46"/>
      <c r="B121" s="3"/>
      <c r="C121" s="3"/>
      <c r="D121" s="3"/>
      <c r="E121" s="5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46"/>
      <c r="B122" s="3"/>
      <c r="C122" s="3"/>
      <c r="D122" s="3"/>
      <c r="E122" s="5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46"/>
      <c r="B123" s="3"/>
      <c r="C123" s="3"/>
      <c r="D123" s="3"/>
      <c r="E123" s="5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46"/>
      <c r="B124" s="3"/>
      <c r="C124" s="3"/>
      <c r="D124" s="3"/>
      <c r="E124" s="5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46"/>
      <c r="B125" s="3"/>
      <c r="C125" s="3"/>
      <c r="D125" s="3"/>
      <c r="E125" s="5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46"/>
      <c r="B126" s="3"/>
      <c r="C126" s="3"/>
      <c r="D126" s="3"/>
      <c r="E126" s="5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46"/>
      <c r="B127" s="3"/>
      <c r="C127" s="3"/>
      <c r="D127" s="3"/>
      <c r="E127" s="5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46"/>
      <c r="B128" s="3"/>
      <c r="C128" s="3"/>
      <c r="D128" s="3"/>
      <c r="E128" s="5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46"/>
      <c r="B129" s="3"/>
      <c r="C129" s="3"/>
      <c r="D129" s="3"/>
      <c r="E129" s="5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46"/>
      <c r="B130" s="3"/>
      <c r="C130" s="3"/>
      <c r="D130" s="3"/>
      <c r="E130" s="5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46"/>
      <c r="B131" s="3"/>
      <c r="C131" s="3"/>
      <c r="D131" s="3"/>
      <c r="E131" s="5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46"/>
      <c r="B132" s="3"/>
      <c r="C132" s="3"/>
      <c r="D132" s="3"/>
      <c r="E132" s="5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46"/>
      <c r="B133" s="3"/>
      <c r="C133" s="3"/>
      <c r="D133" s="3"/>
      <c r="E133" s="5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46"/>
      <c r="B134" s="3"/>
      <c r="C134" s="3"/>
      <c r="D134" s="3"/>
      <c r="E134" s="5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46"/>
      <c r="B135" s="3"/>
      <c r="C135" s="3"/>
      <c r="D135" s="3"/>
      <c r="E135" s="5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46"/>
      <c r="B136" s="3"/>
      <c r="C136" s="3"/>
      <c r="D136" s="3"/>
      <c r="E136" s="5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>
      <c r="A137" s="46"/>
      <c r="B137" s="3"/>
      <c r="C137" s="3"/>
      <c r="D137" s="3"/>
      <c r="E137" s="5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>
      <c r="A138" s="46"/>
      <c r="B138" s="3"/>
      <c r="C138" s="3"/>
      <c r="D138" s="3"/>
      <c r="E138" s="5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>
      <c r="A139" s="46"/>
      <c r="B139" s="3"/>
      <c r="C139" s="3"/>
      <c r="D139" s="3"/>
      <c r="E139" s="5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>
      <c r="A140" s="46"/>
      <c r="B140" s="3"/>
      <c r="C140" s="3"/>
      <c r="D140" s="3"/>
      <c r="E140" s="5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>
      <c r="A141" s="46"/>
      <c r="B141" s="3"/>
      <c r="C141" s="3"/>
      <c r="D141" s="3"/>
      <c r="E141" s="5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>
      <c r="A142" s="46"/>
      <c r="B142" s="3"/>
      <c r="C142" s="3"/>
      <c r="D142" s="3"/>
      <c r="E142" s="5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>
      <c r="A143" s="46"/>
      <c r="B143" s="3"/>
      <c r="C143" s="3"/>
      <c r="D143" s="3"/>
      <c r="E143" s="5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>
      <c r="A144" s="46"/>
      <c r="B144" s="3"/>
      <c r="C144" s="3"/>
      <c r="D144" s="3"/>
      <c r="E144" s="5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>
      <c r="A145" s="46"/>
      <c r="B145" s="3"/>
      <c r="C145" s="3"/>
      <c r="D145" s="3"/>
      <c r="E145" s="5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>
      <c r="A146" s="46"/>
      <c r="B146" s="3"/>
      <c r="C146" s="3"/>
      <c r="D146" s="3"/>
      <c r="E146" s="5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>
      <c r="A147" s="46"/>
      <c r="B147" s="3"/>
      <c r="C147" s="3"/>
      <c r="D147" s="3"/>
      <c r="E147" s="5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>
      <c r="A148" s="46"/>
      <c r="B148" s="3"/>
      <c r="C148" s="3"/>
      <c r="D148" s="3"/>
      <c r="E148" s="5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>
      <c r="A149" s="46"/>
      <c r="B149" s="3"/>
      <c r="C149" s="3"/>
      <c r="D149" s="3"/>
      <c r="E149" s="5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>
      <c r="A150" s="46"/>
      <c r="B150" s="3"/>
      <c r="C150" s="3"/>
      <c r="D150" s="3"/>
      <c r="E150" s="5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>
      <c r="A151" s="46"/>
      <c r="B151" s="3"/>
      <c r="C151" s="3"/>
      <c r="D151" s="3"/>
      <c r="E151" s="5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>
      <c r="A152" s="46"/>
      <c r="B152" s="3"/>
      <c r="C152" s="3"/>
      <c r="D152" s="3"/>
      <c r="E152" s="5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>
      <c r="A153" s="46"/>
      <c r="B153" s="3"/>
      <c r="C153" s="3"/>
      <c r="D153" s="3"/>
      <c r="E153" s="5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>
      <c r="A154" s="46"/>
      <c r="B154" s="3"/>
      <c r="C154" s="3"/>
      <c r="D154" s="3"/>
      <c r="E154" s="5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>
      <c r="A155" s="46"/>
      <c r="B155" s="3"/>
      <c r="C155" s="3"/>
      <c r="D155" s="3"/>
      <c r="E155" s="5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>
      <c r="A156" s="46"/>
      <c r="B156" s="3"/>
      <c r="C156" s="3"/>
      <c r="D156" s="3"/>
      <c r="E156" s="5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>
      <c r="A157" s="46"/>
      <c r="B157" s="3"/>
      <c r="C157" s="3"/>
      <c r="D157" s="3"/>
      <c r="E157" s="5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>
      <c r="A158" s="46"/>
      <c r="B158" s="3"/>
      <c r="C158" s="3"/>
      <c r="D158" s="3"/>
      <c r="E158" s="5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>
      <c r="A159" s="46"/>
      <c r="B159" s="3"/>
      <c r="C159" s="3"/>
      <c r="D159" s="3"/>
      <c r="E159" s="5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>
      <c r="A160" s="46"/>
      <c r="B160" s="3"/>
      <c r="C160" s="3"/>
      <c r="D160" s="3"/>
      <c r="E160" s="5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>
      <c r="A161" s="46"/>
      <c r="B161" s="3"/>
      <c r="C161" s="3"/>
      <c r="D161" s="3"/>
      <c r="E161" s="5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>
      <c r="A162" s="46"/>
      <c r="B162" s="3"/>
      <c r="C162" s="3"/>
      <c r="D162" s="3"/>
      <c r="E162" s="5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>
      <c r="A163" s="46"/>
      <c r="B163" s="3"/>
      <c r="C163" s="3"/>
      <c r="D163" s="3"/>
      <c r="E163" s="5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>
      <c r="A164" s="46"/>
      <c r="B164" s="3"/>
      <c r="C164" s="3"/>
      <c r="D164" s="3"/>
      <c r="E164" s="5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>
      <c r="A165" s="46"/>
      <c r="B165" s="3"/>
      <c r="C165" s="3"/>
      <c r="D165" s="3"/>
      <c r="E165" s="5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>
      <c r="A166" s="46"/>
      <c r="B166" s="3"/>
      <c r="C166" s="3"/>
      <c r="D166" s="3"/>
      <c r="E166" s="5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>
      <c r="A167" s="46"/>
      <c r="B167" s="3"/>
      <c r="C167" s="3"/>
      <c r="D167" s="3"/>
      <c r="E167" s="5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>
      <c r="A168" s="46"/>
      <c r="B168" s="3"/>
      <c r="C168" s="3"/>
      <c r="D168" s="3"/>
      <c r="E168" s="5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>
      <c r="A169" s="46"/>
      <c r="B169" s="3"/>
      <c r="C169" s="3"/>
      <c r="D169" s="3"/>
      <c r="E169" s="5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>
      <c r="A170" s="46"/>
      <c r="B170" s="3"/>
      <c r="C170" s="3"/>
      <c r="D170" s="3"/>
      <c r="E170" s="5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>
      <c r="A171" s="46"/>
      <c r="B171" s="3"/>
      <c r="C171" s="3"/>
      <c r="D171" s="3"/>
      <c r="E171" s="5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>
      <c r="A172" s="46"/>
      <c r="B172" s="3"/>
      <c r="C172" s="3"/>
      <c r="D172" s="3"/>
      <c r="E172" s="5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>
      <c r="A173" s="46"/>
      <c r="B173" s="3"/>
      <c r="C173" s="3"/>
      <c r="D173" s="3"/>
      <c r="E173" s="5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>
      <c r="A174" s="46"/>
      <c r="B174" s="3"/>
      <c r="C174" s="3"/>
      <c r="D174" s="3"/>
      <c r="E174" s="5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>
      <c r="A175" s="46"/>
      <c r="B175" s="3"/>
      <c r="C175" s="3"/>
      <c r="D175" s="3"/>
      <c r="E175" s="5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>
      <c r="A176" s="46"/>
      <c r="B176" s="3"/>
      <c r="C176" s="3"/>
      <c r="D176" s="3"/>
      <c r="E176" s="5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>
      <c r="A177" s="46"/>
      <c r="B177" s="3"/>
      <c r="C177" s="3"/>
      <c r="D177" s="3"/>
      <c r="E177" s="5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>
      <c r="A178" s="46"/>
      <c r="B178" s="3"/>
      <c r="C178" s="3"/>
      <c r="D178" s="3"/>
      <c r="E178" s="5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>
      <c r="A179" s="46"/>
      <c r="B179" s="3"/>
      <c r="C179" s="3"/>
      <c r="D179" s="3"/>
      <c r="E179" s="5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>
      <c r="A180" s="46"/>
      <c r="B180" s="3"/>
      <c r="C180" s="3"/>
      <c r="D180" s="3"/>
      <c r="E180" s="5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>
      <c r="A181" s="46"/>
      <c r="B181" s="3"/>
      <c r="C181" s="3"/>
      <c r="D181" s="3"/>
      <c r="E181" s="5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>
      <c r="A182" s="46"/>
      <c r="B182" s="3"/>
      <c r="C182" s="3"/>
      <c r="D182" s="3"/>
      <c r="E182" s="5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>
      <c r="A183" s="46"/>
      <c r="B183" s="3"/>
      <c r="C183" s="3"/>
      <c r="D183" s="3"/>
      <c r="E183" s="5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>
      <c r="A184" s="46"/>
      <c r="B184" s="3"/>
      <c r="C184" s="3"/>
      <c r="D184" s="3"/>
      <c r="E184" s="5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>
      <c r="A185" s="46"/>
      <c r="B185" s="3"/>
      <c r="C185" s="3"/>
      <c r="D185" s="3"/>
      <c r="E185" s="5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>
      <c r="A186" s="46"/>
      <c r="B186" s="3"/>
      <c r="C186" s="3"/>
      <c r="D186" s="3"/>
      <c r="E186" s="5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>
      <c r="A187" s="46"/>
      <c r="B187" s="3"/>
      <c r="C187" s="3"/>
      <c r="D187" s="3"/>
      <c r="E187" s="5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>
      <c r="A188" s="46"/>
      <c r="B188" s="3"/>
      <c r="C188" s="3"/>
      <c r="D188" s="3"/>
      <c r="E188" s="5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>
      <c r="A189" s="46"/>
      <c r="B189" s="3"/>
      <c r="C189" s="3"/>
      <c r="D189" s="3"/>
      <c r="E189" s="5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>
      <c r="A190" s="46"/>
      <c r="B190" s="3"/>
      <c r="C190" s="3"/>
      <c r="D190" s="3"/>
      <c r="E190" s="5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>
      <c r="A191" s="46"/>
      <c r="B191" s="3"/>
      <c r="C191" s="3"/>
      <c r="D191" s="3"/>
      <c r="E191" s="5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>
      <c r="A192" s="46"/>
      <c r="B192" s="3"/>
      <c r="C192" s="3"/>
      <c r="D192" s="3"/>
      <c r="E192" s="5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>
      <c r="A193" s="46"/>
      <c r="B193" s="3"/>
      <c r="C193" s="3"/>
      <c r="D193" s="3"/>
      <c r="E193" s="5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>
      <c r="A194" s="46"/>
      <c r="B194" s="3"/>
      <c r="C194" s="3"/>
      <c r="D194" s="3"/>
      <c r="E194" s="5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>
      <c r="A195" s="46"/>
      <c r="B195" s="3"/>
      <c r="C195" s="3"/>
      <c r="D195" s="3"/>
      <c r="E195" s="5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>
      <c r="A196" s="46"/>
      <c r="B196" s="3"/>
      <c r="C196" s="3"/>
      <c r="D196" s="3"/>
      <c r="E196" s="5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>
      <c r="A197" s="46"/>
      <c r="B197" s="3"/>
      <c r="C197" s="3"/>
      <c r="D197" s="3"/>
      <c r="E197" s="5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>
      <c r="A198" s="46"/>
      <c r="B198" s="3"/>
      <c r="C198" s="3"/>
      <c r="D198" s="3"/>
      <c r="E198" s="5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>
      <c r="A199" s="46"/>
      <c r="B199" s="3"/>
      <c r="C199" s="3"/>
      <c r="D199" s="3"/>
      <c r="E199" s="5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>
      <c r="A200" s="46"/>
      <c r="B200" s="3"/>
      <c r="C200" s="3"/>
      <c r="D200" s="3"/>
      <c r="E200" s="5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>
      <c r="A201" s="46"/>
      <c r="B201" s="3"/>
      <c r="C201" s="3"/>
      <c r="D201" s="3"/>
      <c r="E201" s="5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>
      <c r="A202" s="46"/>
      <c r="B202" s="3"/>
      <c r="C202" s="3"/>
      <c r="D202" s="3"/>
      <c r="E202" s="5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>
      <c r="A203" s="46"/>
      <c r="B203" s="3"/>
      <c r="C203" s="3"/>
      <c r="D203" s="3"/>
      <c r="E203" s="5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>
      <c r="A204" s="46"/>
      <c r="B204" s="3"/>
      <c r="C204" s="3"/>
      <c r="D204" s="3"/>
      <c r="E204" s="5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>
      <c r="A205" s="46"/>
      <c r="B205" s="3"/>
      <c r="C205" s="3"/>
      <c r="D205" s="3"/>
      <c r="E205" s="5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>
      <c r="A206" s="46"/>
      <c r="B206" s="3"/>
      <c r="C206" s="3"/>
      <c r="D206" s="3"/>
      <c r="E206" s="5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>
      <c r="A207" s="46"/>
      <c r="B207" s="3"/>
      <c r="C207" s="3"/>
      <c r="D207" s="3"/>
      <c r="E207" s="5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>
      <c r="A208" s="46"/>
      <c r="B208" s="3"/>
      <c r="C208" s="3"/>
      <c r="D208" s="3"/>
      <c r="E208" s="5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>
      <c r="A209" s="46"/>
      <c r="B209" s="3"/>
      <c r="C209" s="3"/>
      <c r="D209" s="3"/>
      <c r="E209" s="5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>
      <c r="A210" s="46"/>
      <c r="B210" s="3"/>
      <c r="C210" s="3"/>
      <c r="D210" s="3"/>
      <c r="E210" s="5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>
      <c r="A211" s="46"/>
      <c r="B211" s="3"/>
      <c r="C211" s="3"/>
      <c r="D211" s="3"/>
      <c r="E211" s="5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>
      <c r="A212" s="46"/>
      <c r="B212" s="3"/>
      <c r="C212" s="3"/>
      <c r="D212" s="3"/>
      <c r="E212" s="5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>
      <c r="A213" s="46"/>
      <c r="B213" s="3"/>
      <c r="C213" s="3"/>
      <c r="D213" s="3"/>
      <c r="E213" s="5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>
      <c r="A214" s="46"/>
      <c r="B214" s="3"/>
      <c r="C214" s="3"/>
      <c r="D214" s="3"/>
      <c r="E214" s="5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>
      <c r="A215" s="46"/>
      <c r="B215" s="3"/>
      <c r="C215" s="3"/>
      <c r="D215" s="3"/>
      <c r="E215" s="5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>
      <c r="A216" s="46"/>
      <c r="B216" s="3"/>
      <c r="C216" s="3"/>
      <c r="D216" s="3"/>
      <c r="E216" s="5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>
      <c r="A217" s="46"/>
      <c r="B217" s="3"/>
      <c r="C217" s="3"/>
      <c r="D217" s="3"/>
      <c r="E217" s="5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>
      <c r="A218" s="46"/>
      <c r="B218" s="3"/>
      <c r="C218" s="3"/>
      <c r="D218" s="3"/>
      <c r="E218" s="5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>
      <c r="A219" s="46"/>
      <c r="B219" s="3"/>
      <c r="C219" s="3"/>
      <c r="D219" s="3"/>
      <c r="E219" s="5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46"/>
      <c r="B220" s="3"/>
      <c r="C220" s="3"/>
      <c r="D220" s="3"/>
      <c r="E220" s="5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>
      <c r="A221" s="46"/>
      <c r="B221" s="3"/>
      <c r="C221" s="3"/>
      <c r="D221" s="3"/>
      <c r="E221" s="5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>
      <c r="A222" s="46"/>
      <c r="B222" s="3"/>
      <c r="C222" s="3"/>
      <c r="D222" s="3"/>
      <c r="E222" s="5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>
      <c r="A223" s="46"/>
      <c r="B223" s="3"/>
      <c r="C223" s="3"/>
      <c r="D223" s="3"/>
      <c r="E223" s="5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>
      <c r="A224" s="46"/>
      <c r="B224" s="3"/>
      <c r="C224" s="3"/>
      <c r="D224" s="3"/>
      <c r="E224" s="5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>
      <c r="A225" s="46"/>
      <c r="B225" s="3"/>
      <c r="C225" s="3"/>
      <c r="D225" s="3"/>
      <c r="E225" s="5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>
      <c r="A226" s="46"/>
      <c r="B226" s="3"/>
      <c r="C226" s="3"/>
      <c r="D226" s="3"/>
      <c r="E226" s="5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>
      <c r="A227" s="46"/>
      <c r="B227" s="3"/>
      <c r="C227" s="3"/>
      <c r="D227" s="3"/>
      <c r="E227" s="5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>
      <c r="A228" s="46"/>
      <c r="B228" s="3"/>
      <c r="C228" s="3"/>
      <c r="D228" s="3"/>
      <c r="E228" s="5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>
      <c r="A229" s="46"/>
      <c r="B229" s="3"/>
      <c r="C229" s="3"/>
      <c r="D229" s="3"/>
      <c r="E229" s="5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>
      <c r="A230" s="46"/>
      <c r="B230" s="3"/>
      <c r="C230" s="3"/>
      <c r="D230" s="3"/>
      <c r="E230" s="5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>
      <c r="A231" s="46"/>
      <c r="B231" s="3"/>
      <c r="C231" s="3"/>
      <c r="D231" s="3"/>
      <c r="E231" s="5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>
      <c r="A232" s="46"/>
      <c r="B232" s="3"/>
      <c r="C232" s="3"/>
      <c r="D232" s="3"/>
      <c r="E232" s="5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>
      <c r="A233" s="46"/>
      <c r="B233" s="3"/>
      <c r="C233" s="3"/>
      <c r="D233" s="3"/>
      <c r="E233" s="5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>
      <c r="A234" s="46"/>
      <c r="B234" s="3"/>
      <c r="C234" s="3"/>
      <c r="D234" s="3"/>
      <c r="E234" s="5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>
      <c r="A235" s="46"/>
      <c r="B235" s="3"/>
      <c r="C235" s="3"/>
      <c r="D235" s="3"/>
      <c r="E235" s="5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>
      <c r="A236" s="46"/>
      <c r="B236" s="3"/>
      <c r="C236" s="3"/>
      <c r="D236" s="3"/>
      <c r="E236" s="5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>
      <c r="A237" s="46"/>
      <c r="B237" s="3"/>
      <c r="C237" s="3"/>
      <c r="D237" s="3"/>
      <c r="E237" s="5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>
      <c r="A238" s="46"/>
      <c r="B238" s="3"/>
      <c r="C238" s="3"/>
      <c r="D238" s="3"/>
      <c r="E238" s="5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>
      <c r="A239" s="46"/>
      <c r="B239" s="3"/>
      <c r="C239" s="3"/>
      <c r="D239" s="3"/>
      <c r="E239" s="5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>
      <c r="A240" s="46"/>
      <c r="B240" s="3"/>
      <c r="C240" s="3"/>
      <c r="D240" s="3"/>
      <c r="E240" s="5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>
      <c r="A241" s="46"/>
      <c r="B241" s="3"/>
      <c r="C241" s="3"/>
      <c r="D241" s="3"/>
      <c r="E241" s="5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>
      <c r="A242" s="46"/>
      <c r="B242" s="3"/>
      <c r="C242" s="3"/>
      <c r="D242" s="3"/>
      <c r="E242" s="5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>
      <c r="A243" s="46"/>
      <c r="B243" s="3"/>
      <c r="C243" s="3"/>
      <c r="D243" s="3"/>
      <c r="E243" s="5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>
      <c r="A244" s="46"/>
      <c r="B244" s="3"/>
      <c r="C244" s="3"/>
      <c r="D244" s="3"/>
      <c r="E244" s="5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>
      <c r="A245" s="46"/>
      <c r="B245" s="3"/>
      <c r="C245" s="3"/>
      <c r="D245" s="3"/>
      <c r="E245" s="5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>
      <c r="A246" s="46"/>
      <c r="B246" s="3"/>
      <c r="C246" s="3"/>
      <c r="D246" s="3"/>
      <c r="E246" s="5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>
      <c r="A247" s="46"/>
      <c r="B247" s="3"/>
      <c r="C247" s="3"/>
      <c r="D247" s="3"/>
      <c r="E247" s="5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>
      <c r="A248" s="46"/>
      <c r="B248" s="3"/>
      <c r="C248" s="3"/>
      <c r="D248" s="3"/>
      <c r="E248" s="5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>
      <c r="E249" s="18"/>
    </row>
    <row r="250" spans="1:27" ht="15.75" customHeight="1">
      <c r="E250" s="18"/>
    </row>
    <row r="251" spans="1:27" ht="15.75" customHeight="1">
      <c r="E251" s="18"/>
    </row>
    <row r="252" spans="1:27" ht="15.75" customHeight="1">
      <c r="E252" s="18"/>
    </row>
    <row r="253" spans="1:27" ht="15.75" customHeight="1">
      <c r="E253" s="18"/>
    </row>
    <row r="254" spans="1:27" ht="15.75" customHeight="1">
      <c r="E254" s="18"/>
    </row>
    <row r="255" spans="1:27" ht="15.75" customHeight="1">
      <c r="E255" s="18"/>
    </row>
    <row r="256" spans="1:27" ht="15.75" customHeight="1">
      <c r="E256" s="18"/>
    </row>
    <row r="257" spans="5:5" ht="15.75" customHeight="1">
      <c r="E257" s="18"/>
    </row>
    <row r="258" spans="5:5" ht="15.75" customHeight="1">
      <c r="E258" s="18"/>
    </row>
    <row r="259" spans="5:5" ht="15.75" customHeight="1">
      <c r="E259" s="18"/>
    </row>
    <row r="260" spans="5:5" ht="15.75" customHeight="1">
      <c r="E260" s="18"/>
    </row>
    <row r="261" spans="5:5" ht="15.75" customHeight="1">
      <c r="E261" s="18"/>
    </row>
    <row r="262" spans="5:5" ht="15.75" customHeight="1">
      <c r="E262" s="18"/>
    </row>
    <row r="263" spans="5:5" ht="15.75" customHeight="1">
      <c r="E263" s="18"/>
    </row>
    <row r="264" spans="5:5" ht="15.75" customHeight="1">
      <c r="E264" s="18"/>
    </row>
    <row r="265" spans="5:5" ht="15.75" customHeight="1">
      <c r="E265" s="18"/>
    </row>
    <row r="266" spans="5:5" ht="15.75" customHeight="1">
      <c r="E266" s="18"/>
    </row>
    <row r="267" spans="5:5" ht="15.75" customHeight="1">
      <c r="E267" s="18"/>
    </row>
    <row r="268" spans="5:5" ht="15.75" customHeight="1">
      <c r="E268" s="18"/>
    </row>
    <row r="269" spans="5:5" ht="15.75" customHeight="1">
      <c r="E269" s="18"/>
    </row>
    <row r="270" spans="5:5" ht="15.75" customHeight="1">
      <c r="E270" s="18"/>
    </row>
    <row r="271" spans="5:5" ht="15.75" customHeight="1">
      <c r="E271" s="18"/>
    </row>
    <row r="272" spans="5:5" ht="15.75" customHeight="1">
      <c r="E272" s="18"/>
    </row>
    <row r="273" spans="5:5" ht="15.75" customHeight="1">
      <c r="E273" s="18"/>
    </row>
    <row r="274" spans="5:5" ht="15.75" customHeight="1">
      <c r="E274" s="18"/>
    </row>
    <row r="275" spans="5:5" ht="15.75" customHeight="1">
      <c r="E275" s="18"/>
    </row>
    <row r="276" spans="5:5" ht="15.75" customHeight="1">
      <c r="E276" s="18"/>
    </row>
    <row r="277" spans="5:5" ht="15.75" customHeight="1">
      <c r="E277" s="18"/>
    </row>
    <row r="278" spans="5:5" ht="15.75" customHeight="1">
      <c r="E278" s="18"/>
    </row>
    <row r="279" spans="5:5" ht="15.75" customHeight="1">
      <c r="E279" s="18"/>
    </row>
    <row r="280" spans="5:5" ht="15.75" customHeight="1">
      <c r="E280" s="18"/>
    </row>
    <row r="281" spans="5:5" ht="15.75" customHeight="1">
      <c r="E281" s="18"/>
    </row>
    <row r="282" spans="5:5" ht="15.75" customHeight="1">
      <c r="E282" s="18"/>
    </row>
    <row r="283" spans="5:5" ht="15.75" customHeight="1">
      <c r="E283" s="18"/>
    </row>
    <row r="284" spans="5:5" ht="15.75" customHeight="1">
      <c r="E284" s="18"/>
    </row>
    <row r="285" spans="5:5" ht="15.75" customHeight="1">
      <c r="E285" s="18"/>
    </row>
    <row r="286" spans="5:5" ht="15.75" customHeight="1">
      <c r="E286" s="18"/>
    </row>
    <row r="287" spans="5:5" ht="15.75" customHeight="1">
      <c r="E287" s="18"/>
    </row>
    <row r="288" spans="5:5" ht="15.75" customHeight="1">
      <c r="E288" s="18"/>
    </row>
    <row r="289" spans="5:5" ht="15.75" customHeight="1">
      <c r="E289" s="18"/>
    </row>
    <row r="290" spans="5:5" ht="15.75" customHeight="1">
      <c r="E290" s="18"/>
    </row>
    <row r="291" spans="5:5" ht="15.75" customHeight="1">
      <c r="E291" s="18"/>
    </row>
    <row r="292" spans="5:5" ht="15.75" customHeight="1">
      <c r="E292" s="18"/>
    </row>
    <row r="293" spans="5:5" ht="15.75" customHeight="1">
      <c r="E293" s="18"/>
    </row>
    <row r="294" spans="5:5" ht="15.75" customHeight="1">
      <c r="E294" s="18"/>
    </row>
    <row r="295" spans="5:5" ht="15.75" customHeight="1">
      <c r="E295" s="18"/>
    </row>
    <row r="296" spans="5:5" ht="15.75" customHeight="1">
      <c r="E296" s="18"/>
    </row>
    <row r="297" spans="5:5" ht="15.75" customHeight="1">
      <c r="E297" s="18"/>
    </row>
    <row r="298" spans="5:5" ht="15.75" customHeight="1">
      <c r="E298" s="18"/>
    </row>
    <row r="299" spans="5:5" ht="15.75" customHeight="1">
      <c r="E299" s="18"/>
    </row>
    <row r="300" spans="5:5" ht="15.75" customHeight="1">
      <c r="E300" s="18"/>
    </row>
    <row r="301" spans="5:5" ht="15.75" customHeight="1">
      <c r="E301" s="18"/>
    </row>
    <row r="302" spans="5:5" ht="15.75" customHeight="1">
      <c r="E302" s="18"/>
    </row>
    <row r="303" spans="5:5" ht="15.75" customHeight="1">
      <c r="E303" s="18"/>
    </row>
    <row r="304" spans="5:5" ht="15.75" customHeight="1">
      <c r="E304" s="18"/>
    </row>
    <row r="305" spans="5:5" ht="15.75" customHeight="1">
      <c r="E305" s="18"/>
    </row>
    <row r="306" spans="5:5" ht="15.75" customHeight="1">
      <c r="E306" s="18"/>
    </row>
    <row r="307" spans="5:5" ht="15.75" customHeight="1">
      <c r="E307" s="18"/>
    </row>
    <row r="308" spans="5:5" ht="15.75" customHeight="1">
      <c r="E308" s="18"/>
    </row>
    <row r="309" spans="5:5" ht="15.75" customHeight="1">
      <c r="E309" s="18"/>
    </row>
    <row r="310" spans="5:5" ht="15.75" customHeight="1">
      <c r="E310" s="18"/>
    </row>
    <row r="311" spans="5:5" ht="15.75" customHeight="1">
      <c r="E311" s="18"/>
    </row>
    <row r="312" spans="5:5" ht="15.75" customHeight="1">
      <c r="E312" s="18"/>
    </row>
    <row r="313" spans="5:5" ht="15.75" customHeight="1">
      <c r="E313" s="18"/>
    </row>
    <row r="314" spans="5:5" ht="15.75" customHeight="1">
      <c r="E314" s="18"/>
    </row>
    <row r="315" spans="5:5" ht="15.75" customHeight="1">
      <c r="E315" s="18"/>
    </row>
    <row r="316" spans="5:5" ht="15.75" customHeight="1">
      <c r="E316" s="18"/>
    </row>
    <row r="317" spans="5:5" ht="15.75" customHeight="1">
      <c r="E317" s="18"/>
    </row>
    <row r="318" spans="5:5" ht="15.75" customHeight="1">
      <c r="E318" s="18"/>
    </row>
    <row r="319" spans="5:5" ht="15.75" customHeight="1">
      <c r="E319" s="18"/>
    </row>
    <row r="320" spans="5:5" ht="15.75" customHeight="1">
      <c r="E320" s="18"/>
    </row>
    <row r="321" spans="5:5" ht="15.75" customHeight="1">
      <c r="E321" s="18"/>
    </row>
    <row r="322" spans="5:5" ht="15.75" customHeight="1">
      <c r="E322" s="18"/>
    </row>
    <row r="323" spans="5:5" ht="15.75" customHeight="1">
      <c r="E323" s="18"/>
    </row>
    <row r="324" spans="5:5" ht="15.75" customHeight="1">
      <c r="E324" s="18"/>
    </row>
    <row r="325" spans="5:5" ht="15.75" customHeight="1">
      <c r="E325" s="18"/>
    </row>
    <row r="326" spans="5:5" ht="15.75" customHeight="1">
      <c r="E326" s="18"/>
    </row>
    <row r="327" spans="5:5" ht="15.75" customHeight="1">
      <c r="E327" s="18"/>
    </row>
    <row r="328" spans="5:5" ht="15.75" customHeight="1">
      <c r="E328" s="18"/>
    </row>
    <row r="329" spans="5:5" ht="15.75" customHeight="1">
      <c r="E329" s="18"/>
    </row>
    <row r="330" spans="5:5" ht="15.75" customHeight="1">
      <c r="E330" s="18"/>
    </row>
    <row r="331" spans="5:5" ht="15.75" customHeight="1">
      <c r="E331" s="18"/>
    </row>
    <row r="332" spans="5:5" ht="15.75" customHeight="1">
      <c r="E332" s="18"/>
    </row>
    <row r="333" spans="5:5" ht="15.75" customHeight="1">
      <c r="E333" s="18"/>
    </row>
    <row r="334" spans="5:5" ht="15.75" customHeight="1">
      <c r="E334" s="18"/>
    </row>
    <row r="335" spans="5:5" ht="15.75" customHeight="1">
      <c r="E335" s="18"/>
    </row>
    <row r="336" spans="5:5" ht="15.75" customHeight="1">
      <c r="E336" s="18"/>
    </row>
    <row r="337" spans="5:5" ht="15.75" customHeight="1">
      <c r="E337" s="18"/>
    </row>
    <row r="338" spans="5:5" ht="15.75" customHeight="1">
      <c r="E338" s="18"/>
    </row>
    <row r="339" spans="5:5" ht="15.75" customHeight="1">
      <c r="E339" s="18"/>
    </row>
    <row r="340" spans="5:5" ht="15.75" customHeight="1">
      <c r="E340" s="18"/>
    </row>
    <row r="341" spans="5:5" ht="15.75" customHeight="1">
      <c r="E341" s="18"/>
    </row>
    <row r="342" spans="5:5" ht="15.75" customHeight="1">
      <c r="E342" s="18"/>
    </row>
    <row r="343" spans="5:5" ht="15.75" customHeight="1">
      <c r="E343" s="18"/>
    </row>
    <row r="344" spans="5:5" ht="15.75" customHeight="1">
      <c r="E344" s="18"/>
    </row>
    <row r="345" spans="5:5" ht="15.75" customHeight="1">
      <c r="E345" s="18"/>
    </row>
    <row r="346" spans="5:5" ht="15.75" customHeight="1">
      <c r="E346" s="18"/>
    </row>
    <row r="347" spans="5:5" ht="15.75" customHeight="1">
      <c r="E347" s="18"/>
    </row>
    <row r="348" spans="5:5" ht="15.75" customHeight="1">
      <c r="E348" s="18"/>
    </row>
    <row r="349" spans="5:5" ht="15.75" customHeight="1">
      <c r="E349" s="18"/>
    </row>
    <row r="350" spans="5:5" ht="15.75" customHeight="1">
      <c r="E350" s="18"/>
    </row>
    <row r="351" spans="5:5" ht="15.75" customHeight="1">
      <c r="E351" s="18"/>
    </row>
    <row r="352" spans="5:5" ht="15.75" customHeight="1">
      <c r="E352" s="18"/>
    </row>
    <row r="353" spans="5:5" ht="15.75" customHeight="1">
      <c r="E353" s="18"/>
    </row>
    <row r="354" spans="5:5" ht="15.75" customHeight="1">
      <c r="E354" s="18"/>
    </row>
    <row r="355" spans="5:5" ht="15.75" customHeight="1">
      <c r="E355" s="18"/>
    </row>
    <row r="356" spans="5:5" ht="15.75" customHeight="1">
      <c r="E356" s="18"/>
    </row>
    <row r="357" spans="5:5" ht="15.75" customHeight="1">
      <c r="E357" s="18"/>
    </row>
    <row r="358" spans="5:5" ht="15.75" customHeight="1">
      <c r="E358" s="18"/>
    </row>
    <row r="359" spans="5:5" ht="15.75" customHeight="1">
      <c r="E359" s="18"/>
    </row>
    <row r="360" spans="5:5" ht="15.75" customHeight="1">
      <c r="E360" s="18"/>
    </row>
    <row r="361" spans="5:5" ht="15.75" customHeight="1">
      <c r="E361" s="18"/>
    </row>
    <row r="362" spans="5:5" ht="15.75" customHeight="1">
      <c r="E362" s="18"/>
    </row>
    <row r="363" spans="5:5" ht="15.75" customHeight="1">
      <c r="E363" s="18"/>
    </row>
    <row r="364" spans="5:5" ht="15.75" customHeight="1">
      <c r="E364" s="18"/>
    </row>
    <row r="365" spans="5:5" ht="15.75" customHeight="1">
      <c r="E365" s="18"/>
    </row>
    <row r="366" spans="5:5" ht="15.75" customHeight="1">
      <c r="E366" s="18"/>
    </row>
    <row r="367" spans="5:5" ht="15.75" customHeight="1">
      <c r="E367" s="18"/>
    </row>
    <row r="368" spans="5:5" ht="15.75" customHeight="1">
      <c r="E368" s="18"/>
    </row>
    <row r="369" spans="5:5" ht="15.75" customHeight="1">
      <c r="E369" s="18"/>
    </row>
    <row r="370" spans="5:5" ht="15.75" customHeight="1">
      <c r="E370" s="18"/>
    </row>
    <row r="371" spans="5:5" ht="15.75" customHeight="1">
      <c r="E371" s="18"/>
    </row>
    <row r="372" spans="5:5" ht="15.75" customHeight="1">
      <c r="E372" s="18"/>
    </row>
    <row r="373" spans="5:5" ht="15.75" customHeight="1">
      <c r="E373" s="18"/>
    </row>
    <row r="374" spans="5:5" ht="15.75" customHeight="1">
      <c r="E374" s="18"/>
    </row>
    <row r="375" spans="5:5" ht="15.75" customHeight="1">
      <c r="E375" s="18"/>
    </row>
    <row r="376" spans="5:5" ht="15.75" customHeight="1">
      <c r="E376" s="18"/>
    </row>
    <row r="377" spans="5:5" ht="15.75" customHeight="1">
      <c r="E377" s="18"/>
    </row>
    <row r="378" spans="5:5" ht="15.75" customHeight="1">
      <c r="E378" s="18"/>
    </row>
    <row r="379" spans="5:5" ht="15.75" customHeight="1">
      <c r="E379" s="18"/>
    </row>
    <row r="380" spans="5:5" ht="15.75" customHeight="1">
      <c r="E380" s="18"/>
    </row>
    <row r="381" spans="5:5" ht="15.75" customHeight="1">
      <c r="E381" s="18"/>
    </row>
    <row r="382" spans="5:5" ht="15.75" customHeight="1">
      <c r="E382" s="18"/>
    </row>
    <row r="383" spans="5:5" ht="15.75" customHeight="1">
      <c r="E383" s="18"/>
    </row>
    <row r="384" spans="5:5" ht="15.75" customHeight="1">
      <c r="E384" s="18"/>
    </row>
    <row r="385" spans="5:5" ht="15.75" customHeight="1">
      <c r="E385" s="18"/>
    </row>
    <row r="386" spans="5:5" ht="15.75" customHeight="1">
      <c r="E386" s="18"/>
    </row>
    <row r="387" spans="5:5" ht="15.75" customHeight="1">
      <c r="E387" s="18"/>
    </row>
    <row r="388" spans="5:5" ht="15.75" customHeight="1">
      <c r="E388" s="18"/>
    </row>
    <row r="389" spans="5:5" ht="15.75" customHeight="1">
      <c r="E389" s="18"/>
    </row>
    <row r="390" spans="5:5" ht="15.75" customHeight="1">
      <c r="E390" s="18"/>
    </row>
    <row r="391" spans="5:5" ht="15.75" customHeight="1">
      <c r="E391" s="18"/>
    </row>
    <row r="392" spans="5:5" ht="15.75" customHeight="1">
      <c r="E392" s="18"/>
    </row>
    <row r="393" spans="5:5" ht="15.75" customHeight="1">
      <c r="E393" s="18"/>
    </row>
    <row r="394" spans="5:5" ht="15.75" customHeight="1">
      <c r="E394" s="18"/>
    </row>
    <row r="395" spans="5:5" ht="15.75" customHeight="1">
      <c r="E395" s="18"/>
    </row>
    <row r="396" spans="5:5" ht="15.75" customHeight="1">
      <c r="E396" s="18"/>
    </row>
    <row r="397" spans="5:5" ht="15.75" customHeight="1">
      <c r="E397" s="18"/>
    </row>
    <row r="398" spans="5:5" ht="15.75" customHeight="1">
      <c r="E398" s="18"/>
    </row>
    <row r="399" spans="5:5" ht="15.75" customHeight="1">
      <c r="E399" s="18"/>
    </row>
    <row r="400" spans="5:5" ht="15.75" customHeight="1">
      <c r="E400" s="18"/>
    </row>
    <row r="401" spans="5:5" ht="15.75" customHeight="1">
      <c r="E401" s="18"/>
    </row>
    <row r="402" spans="5:5" ht="15.75" customHeight="1">
      <c r="E402" s="18"/>
    </row>
    <row r="403" spans="5:5" ht="15.75" customHeight="1">
      <c r="E403" s="18"/>
    </row>
    <row r="404" spans="5:5" ht="15.75" customHeight="1">
      <c r="E404" s="18"/>
    </row>
    <row r="405" spans="5:5" ht="15.75" customHeight="1">
      <c r="E405" s="18"/>
    </row>
    <row r="406" spans="5:5" ht="15.75" customHeight="1">
      <c r="E406" s="18"/>
    </row>
    <row r="407" spans="5:5" ht="15.75" customHeight="1">
      <c r="E407" s="18"/>
    </row>
    <row r="408" spans="5:5" ht="15.75" customHeight="1">
      <c r="E408" s="18"/>
    </row>
    <row r="409" spans="5:5" ht="15.75" customHeight="1">
      <c r="E409" s="18"/>
    </row>
    <row r="410" spans="5:5" ht="15.75" customHeight="1">
      <c r="E410" s="18"/>
    </row>
    <row r="411" spans="5:5" ht="15.75" customHeight="1">
      <c r="E411" s="18"/>
    </row>
    <row r="412" spans="5:5" ht="15.75" customHeight="1">
      <c r="E412" s="18"/>
    </row>
    <row r="413" spans="5:5" ht="15.75" customHeight="1">
      <c r="E413" s="18"/>
    </row>
    <row r="414" spans="5:5" ht="15.75" customHeight="1">
      <c r="E414" s="18"/>
    </row>
    <row r="415" spans="5:5" ht="15.75" customHeight="1">
      <c r="E415" s="18"/>
    </row>
    <row r="416" spans="5:5" ht="15.75" customHeight="1">
      <c r="E416" s="18"/>
    </row>
    <row r="417" spans="5:5" ht="15.75" customHeight="1">
      <c r="E417" s="18"/>
    </row>
    <row r="418" spans="5:5" ht="15.75" customHeight="1">
      <c r="E418" s="18"/>
    </row>
    <row r="419" spans="5:5" ht="15.75" customHeight="1">
      <c r="E419" s="18"/>
    </row>
    <row r="420" spans="5:5" ht="15.75" customHeight="1">
      <c r="E420" s="18"/>
    </row>
    <row r="421" spans="5:5" ht="15.75" customHeight="1">
      <c r="E421" s="18"/>
    </row>
    <row r="422" spans="5:5" ht="15.75" customHeight="1">
      <c r="E422" s="18"/>
    </row>
    <row r="423" spans="5:5" ht="15.75" customHeight="1">
      <c r="E423" s="18"/>
    </row>
    <row r="424" spans="5:5" ht="15.75" customHeight="1">
      <c r="E424" s="18"/>
    </row>
    <row r="425" spans="5:5" ht="15.75" customHeight="1">
      <c r="E425" s="18"/>
    </row>
    <row r="426" spans="5:5" ht="15.75" customHeight="1">
      <c r="E426" s="18"/>
    </row>
    <row r="427" spans="5:5" ht="15.75" customHeight="1">
      <c r="E427" s="18"/>
    </row>
    <row r="428" spans="5:5" ht="15.75" customHeight="1">
      <c r="E428" s="18"/>
    </row>
    <row r="429" spans="5:5" ht="15.75" customHeight="1">
      <c r="E429" s="18"/>
    </row>
    <row r="430" spans="5:5" ht="15.75" customHeight="1">
      <c r="E430" s="18"/>
    </row>
    <row r="431" spans="5:5" ht="15.75" customHeight="1">
      <c r="E431" s="18"/>
    </row>
    <row r="432" spans="5:5" ht="15.75" customHeight="1">
      <c r="E432" s="18"/>
    </row>
    <row r="433" spans="5:5" ht="15.75" customHeight="1">
      <c r="E433" s="18"/>
    </row>
    <row r="434" spans="5:5" ht="15.75" customHeight="1">
      <c r="E434" s="18"/>
    </row>
    <row r="435" spans="5:5" ht="15.75" customHeight="1">
      <c r="E435" s="18"/>
    </row>
    <row r="436" spans="5:5" ht="15.75" customHeight="1">
      <c r="E436" s="18"/>
    </row>
    <row r="437" spans="5:5" ht="15.75" customHeight="1">
      <c r="E437" s="18"/>
    </row>
    <row r="438" spans="5:5" ht="15.75" customHeight="1">
      <c r="E438" s="18"/>
    </row>
    <row r="439" spans="5:5" ht="15.75" customHeight="1">
      <c r="E439" s="18"/>
    </row>
    <row r="440" spans="5:5" ht="15.75" customHeight="1">
      <c r="E440" s="18"/>
    </row>
    <row r="441" spans="5:5" ht="15.75" customHeight="1">
      <c r="E441" s="18"/>
    </row>
    <row r="442" spans="5:5" ht="15.75" customHeight="1">
      <c r="E442" s="18"/>
    </row>
    <row r="443" spans="5:5" ht="15.75" customHeight="1">
      <c r="E443" s="18"/>
    </row>
    <row r="444" spans="5:5" ht="15.75" customHeight="1">
      <c r="E444" s="18"/>
    </row>
    <row r="445" spans="5:5" ht="15.75" customHeight="1">
      <c r="E445" s="18"/>
    </row>
    <row r="446" spans="5:5" ht="15.75" customHeight="1">
      <c r="E446" s="18"/>
    </row>
    <row r="447" spans="5:5" ht="15.75" customHeight="1">
      <c r="E447" s="18"/>
    </row>
    <row r="448" spans="5:5" ht="15.75" customHeight="1">
      <c r="E448" s="18"/>
    </row>
    <row r="449" spans="5:5" ht="15.75" customHeight="1">
      <c r="E449" s="18"/>
    </row>
    <row r="450" spans="5:5" ht="15.75" customHeight="1">
      <c r="E450" s="18"/>
    </row>
    <row r="451" spans="5:5" ht="15.75" customHeight="1">
      <c r="E451" s="18"/>
    </row>
    <row r="452" spans="5:5" ht="15.75" customHeight="1">
      <c r="E452" s="18"/>
    </row>
    <row r="453" spans="5:5" ht="15.75" customHeight="1">
      <c r="E453" s="18"/>
    </row>
    <row r="454" spans="5:5" ht="15.75" customHeight="1">
      <c r="E454" s="18"/>
    </row>
    <row r="455" spans="5:5" ht="15.75" customHeight="1">
      <c r="E455" s="18"/>
    </row>
    <row r="456" spans="5:5" ht="15.75" customHeight="1">
      <c r="E456" s="18"/>
    </row>
    <row r="457" spans="5:5" ht="15.75" customHeight="1">
      <c r="E457" s="18"/>
    </row>
    <row r="458" spans="5:5" ht="15.75" customHeight="1">
      <c r="E458" s="18"/>
    </row>
    <row r="459" spans="5:5" ht="15.75" customHeight="1">
      <c r="E459" s="18"/>
    </row>
    <row r="460" spans="5:5" ht="15.75" customHeight="1">
      <c r="E460" s="18"/>
    </row>
    <row r="461" spans="5:5" ht="15.75" customHeight="1">
      <c r="E461" s="18"/>
    </row>
    <row r="462" spans="5:5" ht="15.75" customHeight="1">
      <c r="E462" s="18"/>
    </row>
    <row r="463" spans="5:5" ht="15.75" customHeight="1">
      <c r="E463" s="18"/>
    </row>
    <row r="464" spans="5:5" ht="15.75" customHeight="1">
      <c r="E464" s="18"/>
    </row>
    <row r="465" spans="5:5" ht="15.75" customHeight="1">
      <c r="E465" s="18"/>
    </row>
    <row r="466" spans="5:5" ht="15.75" customHeight="1">
      <c r="E466" s="18"/>
    </row>
    <row r="467" spans="5:5" ht="15.75" customHeight="1">
      <c r="E467" s="18"/>
    </row>
    <row r="468" spans="5:5" ht="15.75" customHeight="1">
      <c r="E468" s="18"/>
    </row>
    <row r="469" spans="5:5" ht="15.75" customHeight="1">
      <c r="E469" s="18"/>
    </row>
    <row r="470" spans="5:5" ht="15.75" customHeight="1">
      <c r="E470" s="18"/>
    </row>
    <row r="471" spans="5:5" ht="15.75" customHeight="1">
      <c r="E471" s="18"/>
    </row>
    <row r="472" spans="5:5" ht="15.75" customHeight="1">
      <c r="E472" s="18"/>
    </row>
    <row r="473" spans="5:5" ht="15.75" customHeight="1">
      <c r="E473" s="18"/>
    </row>
    <row r="474" spans="5:5" ht="15.75" customHeight="1">
      <c r="E474" s="18"/>
    </row>
    <row r="475" spans="5:5" ht="15.75" customHeight="1">
      <c r="E475" s="18"/>
    </row>
    <row r="476" spans="5:5" ht="15.75" customHeight="1">
      <c r="E476" s="18"/>
    </row>
    <row r="477" spans="5:5" ht="15.75" customHeight="1">
      <c r="E477" s="18"/>
    </row>
    <row r="478" spans="5:5" ht="15.75" customHeight="1">
      <c r="E478" s="18"/>
    </row>
    <row r="479" spans="5:5" ht="15.75" customHeight="1">
      <c r="E479" s="18"/>
    </row>
    <row r="480" spans="5:5" ht="15.75" customHeight="1">
      <c r="E480" s="18"/>
    </row>
    <row r="481" spans="5:5" ht="15.75" customHeight="1">
      <c r="E481" s="18"/>
    </row>
    <row r="482" spans="5:5" ht="15.75" customHeight="1">
      <c r="E482" s="18"/>
    </row>
    <row r="483" spans="5:5" ht="15.75" customHeight="1">
      <c r="E483" s="18"/>
    </row>
    <row r="484" spans="5:5" ht="15.75" customHeight="1">
      <c r="E484" s="18"/>
    </row>
    <row r="485" spans="5:5" ht="15.75" customHeight="1">
      <c r="E485" s="18"/>
    </row>
    <row r="486" spans="5:5" ht="15.75" customHeight="1">
      <c r="E486" s="18"/>
    </row>
    <row r="487" spans="5:5" ht="15.75" customHeight="1">
      <c r="E487" s="18"/>
    </row>
    <row r="488" spans="5:5" ht="15.75" customHeight="1">
      <c r="E488" s="18"/>
    </row>
    <row r="489" spans="5:5" ht="15.75" customHeight="1">
      <c r="E489" s="18"/>
    </row>
    <row r="490" spans="5:5" ht="15.75" customHeight="1">
      <c r="E490" s="18"/>
    </row>
    <row r="491" spans="5:5" ht="15.75" customHeight="1">
      <c r="E491" s="18"/>
    </row>
    <row r="492" spans="5:5" ht="15.75" customHeight="1">
      <c r="E492" s="18"/>
    </row>
    <row r="493" spans="5:5" ht="15.75" customHeight="1">
      <c r="E493" s="18"/>
    </row>
    <row r="494" spans="5:5" ht="15.75" customHeight="1">
      <c r="E494" s="18"/>
    </row>
    <row r="495" spans="5:5" ht="15.75" customHeight="1">
      <c r="E495" s="18"/>
    </row>
    <row r="496" spans="5:5" ht="15.75" customHeight="1">
      <c r="E496" s="18"/>
    </row>
    <row r="497" spans="5:5" ht="15.75" customHeight="1">
      <c r="E497" s="18"/>
    </row>
    <row r="498" spans="5:5" ht="15.75" customHeight="1">
      <c r="E498" s="18"/>
    </row>
    <row r="499" spans="5:5" ht="15.75" customHeight="1">
      <c r="E499" s="18"/>
    </row>
    <row r="500" spans="5:5" ht="15.75" customHeight="1">
      <c r="E500" s="18"/>
    </row>
    <row r="501" spans="5:5" ht="15.75" customHeight="1">
      <c r="E501" s="18"/>
    </row>
    <row r="502" spans="5:5" ht="15.75" customHeight="1">
      <c r="E502" s="18"/>
    </row>
    <row r="503" spans="5:5" ht="15.75" customHeight="1">
      <c r="E503" s="18"/>
    </row>
    <row r="504" spans="5:5" ht="15.75" customHeight="1">
      <c r="E504" s="18"/>
    </row>
    <row r="505" spans="5:5" ht="15.75" customHeight="1">
      <c r="E505" s="18"/>
    </row>
    <row r="506" spans="5:5" ht="15.75" customHeight="1">
      <c r="E506" s="18"/>
    </row>
    <row r="507" spans="5:5" ht="15.75" customHeight="1">
      <c r="E507" s="18"/>
    </row>
    <row r="508" spans="5:5" ht="15.75" customHeight="1">
      <c r="E508" s="18"/>
    </row>
    <row r="509" spans="5:5" ht="15.75" customHeight="1">
      <c r="E509" s="18"/>
    </row>
    <row r="510" spans="5:5" ht="15.75" customHeight="1">
      <c r="E510" s="18"/>
    </row>
    <row r="511" spans="5:5" ht="15.75" customHeight="1">
      <c r="E511" s="18"/>
    </row>
    <row r="512" spans="5:5" ht="15.75" customHeight="1">
      <c r="E512" s="18"/>
    </row>
    <row r="513" spans="5:5" ht="15.75" customHeight="1">
      <c r="E513" s="18"/>
    </row>
    <row r="514" spans="5:5" ht="15.75" customHeight="1">
      <c r="E514" s="18"/>
    </row>
    <row r="515" spans="5:5" ht="15.75" customHeight="1">
      <c r="E515" s="18"/>
    </row>
    <row r="516" spans="5:5" ht="15.75" customHeight="1">
      <c r="E516" s="18"/>
    </row>
    <row r="517" spans="5:5" ht="15.75" customHeight="1">
      <c r="E517" s="18"/>
    </row>
    <row r="518" spans="5:5" ht="15.75" customHeight="1">
      <c r="E518" s="18"/>
    </row>
    <row r="519" spans="5:5" ht="15.75" customHeight="1">
      <c r="E519" s="18"/>
    </row>
    <row r="520" spans="5:5" ht="15.75" customHeight="1">
      <c r="E520" s="18"/>
    </row>
    <row r="521" spans="5:5" ht="15.75" customHeight="1">
      <c r="E521" s="18"/>
    </row>
    <row r="522" spans="5:5" ht="15.75" customHeight="1">
      <c r="E522" s="18"/>
    </row>
    <row r="523" spans="5:5" ht="15.75" customHeight="1">
      <c r="E523" s="18"/>
    </row>
    <row r="524" spans="5:5" ht="15.75" customHeight="1">
      <c r="E524" s="18"/>
    </row>
    <row r="525" spans="5:5" ht="15.75" customHeight="1">
      <c r="E525" s="18"/>
    </row>
    <row r="526" spans="5:5" ht="15.75" customHeight="1">
      <c r="E526" s="18"/>
    </row>
    <row r="527" spans="5:5" ht="15.75" customHeight="1">
      <c r="E527" s="18"/>
    </row>
    <row r="528" spans="5:5" ht="15.75" customHeight="1">
      <c r="E528" s="18"/>
    </row>
    <row r="529" spans="5:5" ht="15.75" customHeight="1">
      <c r="E529" s="18"/>
    </row>
    <row r="530" spans="5:5" ht="15.75" customHeight="1">
      <c r="E530" s="18"/>
    </row>
    <row r="531" spans="5:5" ht="15.75" customHeight="1">
      <c r="E531" s="18"/>
    </row>
    <row r="532" spans="5:5" ht="15.75" customHeight="1">
      <c r="E532" s="18"/>
    </row>
    <row r="533" spans="5:5" ht="15.75" customHeight="1">
      <c r="E533" s="18"/>
    </row>
    <row r="534" spans="5:5" ht="15.75" customHeight="1">
      <c r="E534" s="18"/>
    </row>
    <row r="535" spans="5:5" ht="15.75" customHeight="1">
      <c r="E535" s="18"/>
    </row>
    <row r="536" spans="5:5" ht="15.75" customHeight="1">
      <c r="E536" s="18"/>
    </row>
    <row r="537" spans="5:5" ht="15.75" customHeight="1">
      <c r="E537" s="18"/>
    </row>
    <row r="538" spans="5:5" ht="15.75" customHeight="1">
      <c r="E538" s="18"/>
    </row>
    <row r="539" spans="5:5" ht="15.75" customHeight="1">
      <c r="E539" s="18"/>
    </row>
    <row r="540" spans="5:5" ht="15.75" customHeight="1">
      <c r="E540" s="18"/>
    </row>
    <row r="541" spans="5:5" ht="15.75" customHeight="1">
      <c r="E541" s="18"/>
    </row>
    <row r="542" spans="5:5" ht="15.75" customHeight="1">
      <c r="E542" s="18"/>
    </row>
    <row r="543" spans="5:5" ht="15.75" customHeight="1">
      <c r="E543" s="18"/>
    </row>
    <row r="544" spans="5:5" ht="15.75" customHeight="1">
      <c r="E544" s="18"/>
    </row>
    <row r="545" spans="5:5" ht="15.75" customHeight="1">
      <c r="E545" s="18"/>
    </row>
    <row r="546" spans="5:5" ht="15.75" customHeight="1">
      <c r="E546" s="18"/>
    </row>
    <row r="547" spans="5:5" ht="15.75" customHeight="1">
      <c r="E547" s="18"/>
    </row>
    <row r="548" spans="5:5" ht="15.75" customHeight="1">
      <c r="E548" s="18"/>
    </row>
    <row r="549" spans="5:5" ht="15.75" customHeight="1">
      <c r="E549" s="18"/>
    </row>
    <row r="550" spans="5:5" ht="15.75" customHeight="1">
      <c r="E550" s="18"/>
    </row>
    <row r="551" spans="5:5" ht="15.75" customHeight="1">
      <c r="E551" s="18"/>
    </row>
    <row r="552" spans="5:5" ht="15.75" customHeight="1">
      <c r="E552" s="18"/>
    </row>
    <row r="553" spans="5:5" ht="15.75" customHeight="1">
      <c r="E553" s="18"/>
    </row>
    <row r="554" spans="5:5" ht="15.75" customHeight="1">
      <c r="E554" s="18"/>
    </row>
    <row r="555" spans="5:5" ht="15.75" customHeight="1">
      <c r="E555" s="18"/>
    </row>
    <row r="556" spans="5:5" ht="15.75" customHeight="1">
      <c r="E556" s="18"/>
    </row>
    <row r="557" spans="5:5" ht="15.75" customHeight="1">
      <c r="E557" s="18"/>
    </row>
    <row r="558" spans="5:5" ht="15.75" customHeight="1">
      <c r="E558" s="18"/>
    </row>
    <row r="559" spans="5:5" ht="15.75" customHeight="1">
      <c r="E559" s="18"/>
    </row>
    <row r="560" spans="5:5" ht="15.75" customHeight="1">
      <c r="E560" s="18"/>
    </row>
    <row r="561" spans="5:5" ht="15.75" customHeight="1">
      <c r="E561" s="18"/>
    </row>
    <row r="562" spans="5:5" ht="15.75" customHeight="1">
      <c r="E562" s="18"/>
    </row>
    <row r="563" spans="5:5" ht="15.75" customHeight="1">
      <c r="E563" s="18"/>
    </row>
    <row r="564" spans="5:5" ht="15.75" customHeight="1">
      <c r="E564" s="18"/>
    </row>
    <row r="565" spans="5:5" ht="15.75" customHeight="1">
      <c r="E565" s="18"/>
    </row>
    <row r="566" spans="5:5" ht="15.75" customHeight="1">
      <c r="E566" s="18"/>
    </row>
    <row r="567" spans="5:5" ht="15.75" customHeight="1">
      <c r="E567" s="18"/>
    </row>
    <row r="568" spans="5:5" ht="15.75" customHeight="1">
      <c r="E568" s="18"/>
    </row>
    <row r="569" spans="5:5" ht="15.75" customHeight="1">
      <c r="E569" s="18"/>
    </row>
    <row r="570" spans="5:5" ht="15.75" customHeight="1">
      <c r="E570" s="18"/>
    </row>
    <row r="571" spans="5:5" ht="15.75" customHeight="1">
      <c r="E571" s="18"/>
    </row>
    <row r="572" spans="5:5" ht="15.75" customHeight="1">
      <c r="E572" s="18"/>
    </row>
    <row r="573" spans="5:5" ht="15.75" customHeight="1">
      <c r="E573" s="18"/>
    </row>
    <row r="574" spans="5:5" ht="15.75" customHeight="1">
      <c r="E574" s="18"/>
    </row>
    <row r="575" spans="5:5" ht="15.75" customHeight="1">
      <c r="E575" s="18"/>
    </row>
    <row r="576" spans="5:5" ht="15.75" customHeight="1">
      <c r="E576" s="18"/>
    </row>
    <row r="577" spans="5:5" ht="15.75" customHeight="1">
      <c r="E577" s="18"/>
    </row>
    <row r="578" spans="5:5" ht="15.75" customHeight="1">
      <c r="E578" s="18"/>
    </row>
    <row r="579" spans="5:5" ht="15.75" customHeight="1">
      <c r="E579" s="18"/>
    </row>
    <row r="580" spans="5:5" ht="15.75" customHeight="1">
      <c r="E580" s="18"/>
    </row>
    <row r="581" spans="5:5" ht="15.75" customHeight="1">
      <c r="E581" s="18"/>
    </row>
    <row r="582" spans="5:5" ht="15.75" customHeight="1">
      <c r="E582" s="18"/>
    </row>
    <row r="583" spans="5:5" ht="15.75" customHeight="1">
      <c r="E583" s="18"/>
    </row>
    <row r="584" spans="5:5" ht="15.75" customHeight="1">
      <c r="E584" s="18"/>
    </row>
    <row r="585" spans="5:5" ht="15.75" customHeight="1">
      <c r="E585" s="18"/>
    </row>
    <row r="586" spans="5:5" ht="15.75" customHeight="1">
      <c r="E586" s="18"/>
    </row>
    <row r="587" spans="5:5" ht="15.75" customHeight="1">
      <c r="E587" s="18"/>
    </row>
    <row r="588" spans="5:5" ht="15.75" customHeight="1">
      <c r="E588" s="18"/>
    </row>
    <row r="589" spans="5:5" ht="15.75" customHeight="1">
      <c r="E589" s="18"/>
    </row>
    <row r="590" spans="5:5" ht="15.75" customHeight="1">
      <c r="E590" s="18"/>
    </row>
    <row r="591" spans="5:5" ht="15.75" customHeight="1">
      <c r="E591" s="18"/>
    </row>
    <row r="592" spans="5:5" ht="15.75" customHeight="1">
      <c r="E592" s="18"/>
    </row>
    <row r="593" spans="5:5" ht="15.75" customHeight="1">
      <c r="E593" s="18"/>
    </row>
    <row r="594" spans="5:5" ht="15.75" customHeight="1">
      <c r="E594" s="18"/>
    </row>
    <row r="595" spans="5:5" ht="15.75" customHeight="1">
      <c r="E595" s="18"/>
    </row>
    <row r="596" spans="5:5" ht="15.75" customHeight="1">
      <c r="E596" s="18"/>
    </row>
    <row r="597" spans="5:5" ht="15.75" customHeight="1">
      <c r="E597" s="18"/>
    </row>
    <row r="598" spans="5:5" ht="15.75" customHeight="1">
      <c r="E598" s="18"/>
    </row>
    <row r="599" spans="5:5" ht="15.75" customHeight="1">
      <c r="E599" s="18"/>
    </row>
    <row r="600" spans="5:5" ht="15.75" customHeight="1">
      <c r="E600" s="18"/>
    </row>
    <row r="601" spans="5:5" ht="15.75" customHeight="1">
      <c r="E601" s="18"/>
    </row>
    <row r="602" spans="5:5" ht="15.75" customHeight="1">
      <c r="E602" s="18"/>
    </row>
    <row r="603" spans="5:5" ht="15.75" customHeight="1">
      <c r="E603" s="18"/>
    </row>
    <row r="604" spans="5:5" ht="15.75" customHeight="1">
      <c r="E604" s="18"/>
    </row>
    <row r="605" spans="5:5" ht="15.75" customHeight="1">
      <c r="E605" s="18"/>
    </row>
    <row r="606" spans="5:5" ht="15.75" customHeight="1">
      <c r="E606" s="18"/>
    </row>
    <row r="607" spans="5:5" ht="15.75" customHeight="1">
      <c r="E607" s="18"/>
    </row>
    <row r="608" spans="5:5" ht="15.75" customHeight="1">
      <c r="E608" s="18"/>
    </row>
    <row r="609" spans="5:5" ht="15.75" customHeight="1">
      <c r="E609" s="18"/>
    </row>
    <row r="610" spans="5:5" ht="15.75" customHeight="1">
      <c r="E610" s="18"/>
    </row>
    <row r="611" spans="5:5" ht="15.75" customHeight="1">
      <c r="E611" s="18"/>
    </row>
    <row r="612" spans="5:5" ht="15.75" customHeight="1">
      <c r="E612" s="18"/>
    </row>
    <row r="613" spans="5:5" ht="15.75" customHeight="1">
      <c r="E613" s="18"/>
    </row>
    <row r="614" spans="5:5" ht="15.75" customHeight="1">
      <c r="E614" s="18"/>
    </row>
    <row r="615" spans="5:5" ht="15.75" customHeight="1">
      <c r="E615" s="18"/>
    </row>
    <row r="616" spans="5:5" ht="15.75" customHeight="1">
      <c r="E616" s="18"/>
    </row>
    <row r="617" spans="5:5" ht="15.75" customHeight="1">
      <c r="E617" s="18"/>
    </row>
    <row r="618" spans="5:5" ht="15.75" customHeight="1">
      <c r="E618" s="18"/>
    </row>
    <row r="619" spans="5:5" ht="15.75" customHeight="1">
      <c r="E619" s="18"/>
    </row>
    <row r="620" spans="5:5" ht="15.75" customHeight="1">
      <c r="E620" s="18"/>
    </row>
    <row r="621" spans="5:5" ht="15.75" customHeight="1">
      <c r="E621" s="18"/>
    </row>
    <row r="622" spans="5:5" ht="15.75" customHeight="1">
      <c r="E622" s="18"/>
    </row>
    <row r="623" spans="5:5" ht="15.75" customHeight="1">
      <c r="E623" s="18"/>
    </row>
    <row r="624" spans="5:5" ht="15.75" customHeight="1">
      <c r="E624" s="18"/>
    </row>
    <row r="625" spans="5:5" ht="15.75" customHeight="1">
      <c r="E625" s="18"/>
    </row>
    <row r="626" spans="5:5" ht="15.75" customHeight="1">
      <c r="E626" s="18"/>
    </row>
    <row r="627" spans="5:5" ht="15.75" customHeight="1">
      <c r="E627" s="18"/>
    </row>
    <row r="628" spans="5:5" ht="15.75" customHeight="1">
      <c r="E628" s="18"/>
    </row>
    <row r="629" spans="5:5" ht="15.75" customHeight="1">
      <c r="E629" s="18"/>
    </row>
    <row r="630" spans="5:5" ht="15.75" customHeight="1">
      <c r="E630" s="18"/>
    </row>
    <row r="631" spans="5:5" ht="15.75" customHeight="1">
      <c r="E631" s="18"/>
    </row>
    <row r="632" spans="5:5" ht="15.75" customHeight="1">
      <c r="E632" s="18"/>
    </row>
    <row r="633" spans="5:5" ht="15.75" customHeight="1">
      <c r="E633" s="18"/>
    </row>
    <row r="634" spans="5:5" ht="15.75" customHeight="1">
      <c r="E634" s="18"/>
    </row>
    <row r="635" spans="5:5" ht="15.75" customHeight="1">
      <c r="E635" s="18"/>
    </row>
    <row r="636" spans="5:5" ht="15.75" customHeight="1">
      <c r="E636" s="18"/>
    </row>
    <row r="637" spans="5:5" ht="15.75" customHeight="1">
      <c r="E637" s="18"/>
    </row>
    <row r="638" spans="5:5" ht="15.75" customHeight="1">
      <c r="E638" s="18"/>
    </row>
    <row r="639" spans="5:5" ht="15.75" customHeight="1">
      <c r="E639" s="18"/>
    </row>
    <row r="640" spans="5:5" ht="15.75" customHeight="1">
      <c r="E640" s="18"/>
    </row>
    <row r="641" spans="5:5" ht="15.75" customHeight="1">
      <c r="E641" s="18"/>
    </row>
    <row r="642" spans="5:5" ht="15.75" customHeight="1">
      <c r="E642" s="18"/>
    </row>
    <row r="643" spans="5:5" ht="15.75" customHeight="1">
      <c r="E643" s="18"/>
    </row>
    <row r="644" spans="5:5" ht="15.75" customHeight="1">
      <c r="E644" s="18"/>
    </row>
    <row r="645" spans="5:5" ht="15.75" customHeight="1">
      <c r="E645" s="18"/>
    </row>
    <row r="646" spans="5:5" ht="15.75" customHeight="1">
      <c r="E646" s="18"/>
    </row>
    <row r="647" spans="5:5" ht="15.75" customHeight="1">
      <c r="E647" s="18"/>
    </row>
    <row r="648" spans="5:5" ht="15.75" customHeight="1">
      <c r="E648" s="18"/>
    </row>
    <row r="649" spans="5:5" ht="15.75" customHeight="1">
      <c r="E649" s="18"/>
    </row>
    <row r="650" spans="5:5" ht="15.75" customHeight="1">
      <c r="E650" s="18"/>
    </row>
    <row r="651" spans="5:5" ht="15.75" customHeight="1">
      <c r="E651" s="18"/>
    </row>
    <row r="652" spans="5:5" ht="15.75" customHeight="1">
      <c r="E652" s="18"/>
    </row>
    <row r="653" spans="5:5" ht="15.75" customHeight="1">
      <c r="E653" s="18"/>
    </row>
    <row r="654" spans="5:5" ht="15.75" customHeight="1">
      <c r="E654" s="18"/>
    </row>
    <row r="655" spans="5:5" ht="15.75" customHeight="1">
      <c r="E655" s="18"/>
    </row>
    <row r="656" spans="5:5" ht="15.75" customHeight="1">
      <c r="E656" s="18"/>
    </row>
    <row r="657" spans="5:5" ht="15.75" customHeight="1">
      <c r="E657" s="18"/>
    </row>
    <row r="658" spans="5:5" ht="15.75" customHeight="1">
      <c r="E658" s="18"/>
    </row>
    <row r="659" spans="5:5" ht="15.75" customHeight="1">
      <c r="E659" s="18"/>
    </row>
    <row r="660" spans="5:5" ht="15.75" customHeight="1">
      <c r="E660" s="18"/>
    </row>
    <row r="661" spans="5:5" ht="15.75" customHeight="1">
      <c r="E661" s="18"/>
    </row>
    <row r="662" spans="5:5" ht="15.75" customHeight="1">
      <c r="E662" s="18"/>
    </row>
    <row r="663" spans="5:5" ht="15.75" customHeight="1">
      <c r="E663" s="18"/>
    </row>
    <row r="664" spans="5:5" ht="15.75" customHeight="1">
      <c r="E664" s="18"/>
    </row>
    <row r="665" spans="5:5" ht="15.75" customHeight="1">
      <c r="E665" s="18"/>
    </row>
    <row r="666" spans="5:5" ht="15.75" customHeight="1">
      <c r="E666" s="18"/>
    </row>
    <row r="667" spans="5:5" ht="15.75" customHeight="1">
      <c r="E667" s="18"/>
    </row>
    <row r="668" spans="5:5" ht="15.75" customHeight="1">
      <c r="E668" s="18"/>
    </row>
    <row r="669" spans="5:5" ht="15.75" customHeight="1">
      <c r="E669" s="18"/>
    </row>
    <row r="670" spans="5:5" ht="15.75" customHeight="1">
      <c r="E670" s="18"/>
    </row>
    <row r="671" spans="5:5" ht="15.75" customHeight="1">
      <c r="E671" s="18"/>
    </row>
    <row r="672" spans="5:5" ht="15.75" customHeight="1">
      <c r="E672" s="18"/>
    </row>
    <row r="673" spans="5:5" ht="15.75" customHeight="1">
      <c r="E673" s="18"/>
    </row>
    <row r="674" spans="5:5" ht="15.75" customHeight="1">
      <c r="E674" s="18"/>
    </row>
    <row r="675" spans="5:5" ht="15.75" customHeight="1">
      <c r="E675" s="18"/>
    </row>
    <row r="676" spans="5:5" ht="15.75" customHeight="1">
      <c r="E676" s="18"/>
    </row>
    <row r="677" spans="5:5" ht="15.75" customHeight="1">
      <c r="E677" s="18"/>
    </row>
    <row r="678" spans="5:5" ht="15.75" customHeight="1">
      <c r="E678" s="18"/>
    </row>
    <row r="679" spans="5:5" ht="15.75" customHeight="1">
      <c r="E679" s="18"/>
    </row>
    <row r="680" spans="5:5" ht="15.75" customHeight="1">
      <c r="E680" s="18"/>
    </row>
    <row r="681" spans="5:5" ht="15.75" customHeight="1">
      <c r="E681" s="18"/>
    </row>
    <row r="682" spans="5:5" ht="15.75" customHeight="1">
      <c r="E682" s="18"/>
    </row>
    <row r="683" spans="5:5" ht="15.75" customHeight="1">
      <c r="E683" s="18"/>
    </row>
    <row r="684" spans="5:5" ht="15.75" customHeight="1">
      <c r="E684" s="18"/>
    </row>
    <row r="685" spans="5:5" ht="15.75" customHeight="1">
      <c r="E685" s="18"/>
    </row>
    <row r="686" spans="5:5" ht="15.75" customHeight="1">
      <c r="E686" s="18"/>
    </row>
    <row r="687" spans="5:5" ht="15.75" customHeight="1">
      <c r="E687" s="18"/>
    </row>
    <row r="688" spans="5:5" ht="15.75" customHeight="1">
      <c r="E688" s="18"/>
    </row>
    <row r="689" spans="5:5" ht="15.75" customHeight="1">
      <c r="E689" s="18"/>
    </row>
    <row r="690" spans="5:5" ht="15.75" customHeight="1">
      <c r="E690" s="18"/>
    </row>
    <row r="691" spans="5:5" ht="15.75" customHeight="1">
      <c r="E691" s="18"/>
    </row>
    <row r="692" spans="5:5" ht="15.75" customHeight="1">
      <c r="E692" s="18"/>
    </row>
    <row r="693" spans="5:5" ht="15.75" customHeight="1">
      <c r="E693" s="18"/>
    </row>
    <row r="694" spans="5:5" ht="15.75" customHeight="1">
      <c r="E694" s="18"/>
    </row>
    <row r="695" spans="5:5" ht="15.75" customHeight="1">
      <c r="E695" s="18"/>
    </row>
    <row r="696" spans="5:5" ht="15.75" customHeight="1">
      <c r="E696" s="18"/>
    </row>
    <row r="697" spans="5:5" ht="15.75" customHeight="1">
      <c r="E697" s="18"/>
    </row>
    <row r="698" spans="5:5" ht="15.75" customHeight="1">
      <c r="E698" s="18"/>
    </row>
    <row r="699" spans="5:5" ht="15.75" customHeight="1">
      <c r="E699" s="18"/>
    </row>
    <row r="700" spans="5:5" ht="15.75" customHeight="1">
      <c r="E700" s="18"/>
    </row>
    <row r="701" spans="5:5" ht="15.75" customHeight="1">
      <c r="E701" s="18"/>
    </row>
    <row r="702" spans="5:5" ht="15.75" customHeight="1">
      <c r="E702" s="18"/>
    </row>
    <row r="703" spans="5:5" ht="15.75" customHeight="1">
      <c r="E703" s="18"/>
    </row>
    <row r="704" spans="5:5" ht="15.75" customHeight="1">
      <c r="E704" s="18"/>
    </row>
    <row r="705" spans="5:5" ht="15.75" customHeight="1">
      <c r="E705" s="18"/>
    </row>
    <row r="706" spans="5:5" ht="15.75" customHeight="1">
      <c r="E706" s="18"/>
    </row>
    <row r="707" spans="5:5" ht="15.75" customHeight="1">
      <c r="E707" s="18"/>
    </row>
    <row r="708" spans="5:5" ht="15.75" customHeight="1">
      <c r="E708" s="18"/>
    </row>
    <row r="709" spans="5:5" ht="15.75" customHeight="1">
      <c r="E709" s="18"/>
    </row>
    <row r="710" spans="5:5" ht="15.75" customHeight="1">
      <c r="E710" s="18"/>
    </row>
    <row r="711" spans="5:5" ht="15.75" customHeight="1">
      <c r="E711" s="18"/>
    </row>
    <row r="712" spans="5:5" ht="15.75" customHeight="1">
      <c r="E712" s="18"/>
    </row>
    <row r="713" spans="5:5" ht="15.75" customHeight="1">
      <c r="E713" s="18"/>
    </row>
    <row r="714" spans="5:5" ht="15.75" customHeight="1">
      <c r="E714" s="18"/>
    </row>
    <row r="715" spans="5:5" ht="15.75" customHeight="1">
      <c r="E715" s="18"/>
    </row>
    <row r="716" spans="5:5" ht="15.75" customHeight="1">
      <c r="E716" s="18"/>
    </row>
    <row r="717" spans="5:5" ht="15.75" customHeight="1">
      <c r="E717" s="18"/>
    </row>
    <row r="718" spans="5:5" ht="15.75" customHeight="1">
      <c r="E718" s="18"/>
    </row>
    <row r="719" spans="5:5" ht="15.75" customHeight="1">
      <c r="E719" s="18"/>
    </row>
    <row r="720" spans="5:5" ht="15.75" customHeight="1">
      <c r="E720" s="18"/>
    </row>
    <row r="721" spans="5:5" ht="15.75" customHeight="1">
      <c r="E721" s="18"/>
    </row>
    <row r="722" spans="5:5" ht="15.75" customHeight="1">
      <c r="E722" s="18"/>
    </row>
    <row r="723" spans="5:5" ht="15.75" customHeight="1">
      <c r="E723" s="18"/>
    </row>
    <row r="724" spans="5:5" ht="15.75" customHeight="1">
      <c r="E724" s="18"/>
    </row>
    <row r="725" spans="5:5" ht="15.75" customHeight="1">
      <c r="E725" s="18"/>
    </row>
    <row r="726" spans="5:5" ht="15.75" customHeight="1">
      <c r="E726" s="18"/>
    </row>
    <row r="727" spans="5:5" ht="15.75" customHeight="1">
      <c r="E727" s="18"/>
    </row>
    <row r="728" spans="5:5" ht="15.75" customHeight="1">
      <c r="E728" s="18"/>
    </row>
    <row r="729" spans="5:5" ht="15.75" customHeight="1">
      <c r="E729" s="18"/>
    </row>
    <row r="730" spans="5:5" ht="15.75" customHeight="1">
      <c r="E730" s="18"/>
    </row>
    <row r="731" spans="5:5" ht="15.75" customHeight="1">
      <c r="E731" s="18"/>
    </row>
    <row r="732" spans="5:5" ht="15.75" customHeight="1">
      <c r="E732" s="18"/>
    </row>
    <row r="733" spans="5:5" ht="15.75" customHeight="1">
      <c r="E733" s="18"/>
    </row>
    <row r="734" spans="5:5" ht="15.75" customHeight="1">
      <c r="E734" s="18"/>
    </row>
    <row r="735" spans="5:5" ht="15.75" customHeight="1">
      <c r="E735" s="18"/>
    </row>
    <row r="736" spans="5:5" ht="15.75" customHeight="1">
      <c r="E736" s="18"/>
    </row>
    <row r="737" spans="5:5" ht="15.75" customHeight="1">
      <c r="E737" s="18"/>
    </row>
    <row r="738" spans="5:5" ht="15.75" customHeight="1">
      <c r="E738" s="18"/>
    </row>
    <row r="739" spans="5:5" ht="15.75" customHeight="1">
      <c r="E739" s="18"/>
    </row>
    <row r="740" spans="5:5" ht="15.75" customHeight="1">
      <c r="E740" s="18"/>
    </row>
    <row r="741" spans="5:5" ht="15.75" customHeight="1">
      <c r="E741" s="18"/>
    </row>
    <row r="742" spans="5:5" ht="15.75" customHeight="1">
      <c r="E742" s="18"/>
    </row>
    <row r="743" spans="5:5" ht="15.75" customHeight="1">
      <c r="E743" s="18"/>
    </row>
    <row r="744" spans="5:5" ht="15.75" customHeight="1">
      <c r="E744" s="18"/>
    </row>
    <row r="745" spans="5:5" ht="15.75" customHeight="1">
      <c r="E745" s="18"/>
    </row>
    <row r="746" spans="5:5" ht="15.75" customHeight="1">
      <c r="E746" s="18"/>
    </row>
    <row r="747" spans="5:5" ht="15.75" customHeight="1">
      <c r="E747" s="18"/>
    </row>
    <row r="748" spans="5:5" ht="15.75" customHeight="1">
      <c r="E748" s="18"/>
    </row>
    <row r="749" spans="5:5" ht="15.75" customHeight="1">
      <c r="E749" s="18"/>
    </row>
    <row r="750" spans="5:5" ht="15.75" customHeight="1">
      <c r="E750" s="18"/>
    </row>
    <row r="751" spans="5:5" ht="15.75" customHeight="1">
      <c r="E751" s="18"/>
    </row>
    <row r="752" spans="5:5" ht="15.75" customHeight="1">
      <c r="E752" s="18"/>
    </row>
    <row r="753" spans="5:5" ht="15.75" customHeight="1">
      <c r="E753" s="18"/>
    </row>
    <row r="754" spans="5:5" ht="15.75" customHeight="1">
      <c r="E754" s="18"/>
    </row>
    <row r="755" spans="5:5" ht="15.75" customHeight="1">
      <c r="E755" s="18"/>
    </row>
    <row r="756" spans="5:5" ht="15.75" customHeight="1">
      <c r="E756" s="18"/>
    </row>
    <row r="757" spans="5:5" ht="15.75" customHeight="1">
      <c r="E757" s="18"/>
    </row>
    <row r="758" spans="5:5" ht="15.75" customHeight="1">
      <c r="E758" s="18"/>
    </row>
    <row r="759" spans="5:5" ht="15.75" customHeight="1">
      <c r="E759" s="18"/>
    </row>
    <row r="760" spans="5:5" ht="15.75" customHeight="1">
      <c r="E760" s="18"/>
    </row>
    <row r="761" spans="5:5" ht="15.75" customHeight="1">
      <c r="E761" s="18"/>
    </row>
    <row r="762" spans="5:5" ht="15.75" customHeight="1">
      <c r="E762" s="18"/>
    </row>
    <row r="763" spans="5:5" ht="15.75" customHeight="1">
      <c r="E763" s="18"/>
    </row>
    <row r="764" spans="5:5" ht="15.75" customHeight="1">
      <c r="E764" s="18"/>
    </row>
    <row r="765" spans="5:5" ht="15.75" customHeight="1">
      <c r="E765" s="18"/>
    </row>
    <row r="766" spans="5:5" ht="15.75" customHeight="1">
      <c r="E766" s="18"/>
    </row>
    <row r="767" spans="5:5" ht="15.75" customHeight="1">
      <c r="E767" s="18"/>
    </row>
    <row r="768" spans="5:5" ht="15.75" customHeight="1">
      <c r="E768" s="18"/>
    </row>
    <row r="769" spans="5:5" ht="15.75" customHeight="1">
      <c r="E769" s="18"/>
    </row>
    <row r="770" spans="5:5" ht="15.75" customHeight="1">
      <c r="E770" s="18"/>
    </row>
    <row r="771" spans="5:5" ht="15.75" customHeight="1">
      <c r="E771" s="18"/>
    </row>
    <row r="772" spans="5:5" ht="15.75" customHeight="1">
      <c r="E772" s="18"/>
    </row>
    <row r="773" spans="5:5" ht="15.75" customHeight="1">
      <c r="E773" s="18"/>
    </row>
    <row r="774" spans="5:5" ht="15.75" customHeight="1">
      <c r="E774" s="18"/>
    </row>
    <row r="775" spans="5:5" ht="15.75" customHeight="1">
      <c r="E775" s="18"/>
    </row>
    <row r="776" spans="5:5" ht="15.75" customHeight="1">
      <c r="E776" s="18"/>
    </row>
    <row r="777" spans="5:5" ht="15.75" customHeight="1">
      <c r="E777" s="18"/>
    </row>
    <row r="778" spans="5:5" ht="15.75" customHeight="1">
      <c r="E778" s="18"/>
    </row>
    <row r="779" spans="5:5" ht="15.75" customHeight="1">
      <c r="E779" s="18"/>
    </row>
    <row r="780" spans="5:5" ht="15.75" customHeight="1">
      <c r="E780" s="18"/>
    </row>
    <row r="781" spans="5:5" ht="15.75" customHeight="1">
      <c r="E781" s="18"/>
    </row>
    <row r="782" spans="5:5" ht="15.75" customHeight="1">
      <c r="E782" s="18"/>
    </row>
    <row r="783" spans="5:5" ht="15.75" customHeight="1">
      <c r="E783" s="18"/>
    </row>
    <row r="784" spans="5:5" ht="15.75" customHeight="1">
      <c r="E784" s="18"/>
    </row>
    <row r="785" spans="5:5" ht="15.75" customHeight="1">
      <c r="E785" s="18"/>
    </row>
    <row r="786" spans="5:5" ht="15.75" customHeight="1">
      <c r="E786" s="18"/>
    </row>
    <row r="787" spans="5:5" ht="15.75" customHeight="1">
      <c r="E787" s="18"/>
    </row>
    <row r="788" spans="5:5" ht="15.75" customHeight="1">
      <c r="E788" s="18"/>
    </row>
    <row r="789" spans="5:5" ht="15.75" customHeight="1">
      <c r="E789" s="18"/>
    </row>
    <row r="790" spans="5:5" ht="15.75" customHeight="1">
      <c r="E790" s="18"/>
    </row>
    <row r="791" spans="5:5" ht="15.75" customHeight="1">
      <c r="E791" s="18"/>
    </row>
    <row r="792" spans="5:5" ht="15.75" customHeight="1">
      <c r="E792" s="18"/>
    </row>
    <row r="793" spans="5:5" ht="15.75" customHeight="1">
      <c r="E793" s="18"/>
    </row>
    <row r="794" spans="5:5" ht="15.75" customHeight="1">
      <c r="E794" s="18"/>
    </row>
    <row r="795" spans="5:5" ht="15.75" customHeight="1">
      <c r="E795" s="18"/>
    </row>
    <row r="796" spans="5:5" ht="15.75" customHeight="1">
      <c r="E796" s="18"/>
    </row>
    <row r="797" spans="5:5" ht="15.75" customHeight="1">
      <c r="E797" s="18"/>
    </row>
    <row r="798" spans="5:5" ht="15.75" customHeight="1">
      <c r="E798" s="18"/>
    </row>
    <row r="799" spans="5:5" ht="15.75" customHeight="1">
      <c r="E799" s="18"/>
    </row>
    <row r="800" spans="5:5" ht="15.75" customHeight="1">
      <c r="E800" s="18"/>
    </row>
    <row r="801" spans="5:5" ht="15.75" customHeight="1">
      <c r="E801" s="18"/>
    </row>
    <row r="802" spans="5:5" ht="15.75" customHeight="1">
      <c r="E802" s="18"/>
    </row>
    <row r="803" spans="5:5" ht="15.75" customHeight="1">
      <c r="E803" s="18"/>
    </row>
    <row r="804" spans="5:5" ht="15.75" customHeight="1">
      <c r="E804" s="18"/>
    </row>
    <row r="805" spans="5:5" ht="15.75" customHeight="1">
      <c r="E805" s="18"/>
    </row>
    <row r="806" spans="5:5" ht="15.75" customHeight="1">
      <c r="E806" s="18"/>
    </row>
    <row r="807" spans="5:5" ht="15.75" customHeight="1">
      <c r="E807" s="18"/>
    </row>
    <row r="808" spans="5:5" ht="15.75" customHeight="1">
      <c r="E808" s="18"/>
    </row>
    <row r="809" spans="5:5" ht="15.75" customHeight="1">
      <c r="E809" s="18"/>
    </row>
    <row r="810" spans="5:5" ht="15.75" customHeight="1">
      <c r="E810" s="18"/>
    </row>
    <row r="811" spans="5:5" ht="15.75" customHeight="1">
      <c r="E811" s="18"/>
    </row>
    <row r="812" spans="5:5" ht="15.75" customHeight="1">
      <c r="E812" s="18"/>
    </row>
    <row r="813" spans="5:5" ht="15.75" customHeight="1">
      <c r="E813" s="18"/>
    </row>
    <row r="814" spans="5:5" ht="15.75" customHeight="1">
      <c r="E814" s="18"/>
    </row>
    <row r="815" spans="5:5" ht="15.75" customHeight="1">
      <c r="E815" s="18"/>
    </row>
    <row r="816" spans="5:5" ht="15.75" customHeight="1">
      <c r="E816" s="18"/>
    </row>
    <row r="817" spans="5:5" ht="15.75" customHeight="1">
      <c r="E817" s="18"/>
    </row>
    <row r="818" spans="5:5" ht="15.75" customHeight="1">
      <c r="E818" s="18"/>
    </row>
    <row r="819" spans="5:5" ht="15.75" customHeight="1">
      <c r="E819" s="18"/>
    </row>
    <row r="820" spans="5:5" ht="15.75" customHeight="1">
      <c r="E820" s="18"/>
    </row>
    <row r="821" spans="5:5" ht="15.75" customHeight="1">
      <c r="E821" s="18"/>
    </row>
    <row r="822" spans="5:5" ht="15.75" customHeight="1">
      <c r="E822" s="18"/>
    </row>
    <row r="823" spans="5:5" ht="15.75" customHeight="1">
      <c r="E823" s="18"/>
    </row>
    <row r="824" spans="5:5" ht="15.75" customHeight="1">
      <c r="E824" s="18"/>
    </row>
    <row r="825" spans="5:5" ht="15.75" customHeight="1">
      <c r="E825" s="18"/>
    </row>
    <row r="826" spans="5:5" ht="15.75" customHeight="1">
      <c r="E826" s="18"/>
    </row>
    <row r="827" spans="5:5" ht="15.75" customHeight="1">
      <c r="E827" s="18"/>
    </row>
    <row r="828" spans="5:5" ht="15.75" customHeight="1">
      <c r="E828" s="18"/>
    </row>
    <row r="829" spans="5:5" ht="15.75" customHeight="1">
      <c r="E829" s="18"/>
    </row>
    <row r="830" spans="5:5" ht="15.75" customHeight="1">
      <c r="E830" s="18"/>
    </row>
    <row r="831" spans="5:5" ht="15.75" customHeight="1">
      <c r="E831" s="18"/>
    </row>
    <row r="832" spans="5:5" ht="15.75" customHeight="1">
      <c r="E832" s="18"/>
    </row>
    <row r="833" spans="5:5" ht="15.75" customHeight="1">
      <c r="E833" s="18"/>
    </row>
    <row r="834" spans="5:5" ht="15.75" customHeight="1">
      <c r="E834" s="18"/>
    </row>
    <row r="835" spans="5:5" ht="15.75" customHeight="1">
      <c r="E835" s="18"/>
    </row>
    <row r="836" spans="5:5" ht="15.75" customHeight="1">
      <c r="E836" s="18"/>
    </row>
    <row r="837" spans="5:5" ht="15.75" customHeight="1">
      <c r="E837" s="18"/>
    </row>
    <row r="838" spans="5:5" ht="15.75" customHeight="1">
      <c r="E838" s="18"/>
    </row>
    <row r="839" spans="5:5" ht="15.75" customHeight="1">
      <c r="E839" s="18"/>
    </row>
    <row r="840" spans="5:5" ht="15.75" customHeight="1">
      <c r="E840" s="18"/>
    </row>
    <row r="841" spans="5:5" ht="15.75" customHeight="1">
      <c r="E841" s="18"/>
    </row>
    <row r="842" spans="5:5" ht="15.75" customHeight="1">
      <c r="E842" s="18"/>
    </row>
    <row r="843" spans="5:5" ht="15.75" customHeight="1">
      <c r="E843" s="18"/>
    </row>
    <row r="844" spans="5:5" ht="15.75" customHeight="1">
      <c r="E844" s="18"/>
    </row>
    <row r="845" spans="5:5" ht="15.75" customHeight="1">
      <c r="E845" s="18"/>
    </row>
    <row r="846" spans="5:5" ht="15.75" customHeight="1">
      <c r="E846" s="18"/>
    </row>
    <row r="847" spans="5:5" ht="15.75" customHeight="1">
      <c r="E847" s="18"/>
    </row>
    <row r="848" spans="5:5" ht="15.75" customHeight="1">
      <c r="E848" s="18"/>
    </row>
    <row r="849" spans="5:5" ht="15.75" customHeight="1">
      <c r="E849" s="18"/>
    </row>
    <row r="850" spans="5:5" ht="15.75" customHeight="1">
      <c r="E850" s="18"/>
    </row>
    <row r="851" spans="5:5" ht="15.75" customHeight="1">
      <c r="E851" s="18"/>
    </row>
    <row r="852" spans="5:5" ht="15.75" customHeight="1">
      <c r="E852" s="18"/>
    </row>
    <row r="853" spans="5:5" ht="15.75" customHeight="1">
      <c r="E853" s="18"/>
    </row>
    <row r="854" spans="5:5" ht="15.75" customHeight="1">
      <c r="E854" s="18"/>
    </row>
    <row r="855" spans="5:5" ht="15.75" customHeight="1">
      <c r="E855" s="18"/>
    </row>
    <row r="856" spans="5:5" ht="15.75" customHeight="1">
      <c r="E856" s="18"/>
    </row>
    <row r="857" spans="5:5" ht="15.75" customHeight="1">
      <c r="E857" s="18"/>
    </row>
    <row r="858" spans="5:5" ht="15.75" customHeight="1">
      <c r="E858" s="18"/>
    </row>
    <row r="859" spans="5:5" ht="15.75" customHeight="1">
      <c r="E859" s="18"/>
    </row>
    <row r="860" spans="5:5" ht="15.75" customHeight="1">
      <c r="E860" s="18"/>
    </row>
    <row r="861" spans="5:5" ht="15.75" customHeight="1">
      <c r="E861" s="18"/>
    </row>
    <row r="862" spans="5:5" ht="15.75" customHeight="1">
      <c r="E862" s="18"/>
    </row>
    <row r="863" spans="5:5" ht="15.75" customHeight="1">
      <c r="E863" s="18"/>
    </row>
    <row r="864" spans="5:5" ht="15.75" customHeight="1">
      <c r="E864" s="18"/>
    </row>
    <row r="865" spans="5:5" ht="15.75" customHeight="1">
      <c r="E865" s="18"/>
    </row>
    <row r="866" spans="5:5" ht="15.75" customHeight="1">
      <c r="E866" s="18"/>
    </row>
    <row r="867" spans="5:5" ht="15.75" customHeight="1">
      <c r="E867" s="18"/>
    </row>
    <row r="868" spans="5:5" ht="15.75" customHeight="1">
      <c r="E868" s="18"/>
    </row>
    <row r="869" spans="5:5" ht="15.75" customHeight="1">
      <c r="E869" s="18"/>
    </row>
    <row r="870" spans="5:5" ht="15.75" customHeight="1">
      <c r="E870" s="18"/>
    </row>
    <row r="871" spans="5:5" ht="15.75" customHeight="1">
      <c r="E871" s="18"/>
    </row>
    <row r="872" spans="5:5" ht="15.75" customHeight="1">
      <c r="E872" s="18"/>
    </row>
    <row r="873" spans="5:5" ht="15.75" customHeight="1">
      <c r="E873" s="18"/>
    </row>
    <row r="874" spans="5:5" ht="15.75" customHeight="1">
      <c r="E874" s="18"/>
    </row>
    <row r="875" spans="5:5" ht="15.75" customHeight="1">
      <c r="E875" s="18"/>
    </row>
    <row r="876" spans="5:5" ht="15.75" customHeight="1">
      <c r="E876" s="18"/>
    </row>
    <row r="877" spans="5:5" ht="15.75" customHeight="1">
      <c r="E877" s="18"/>
    </row>
    <row r="878" spans="5:5" ht="15.75" customHeight="1">
      <c r="E878" s="18"/>
    </row>
    <row r="879" spans="5:5" ht="15.75" customHeight="1">
      <c r="E879" s="18"/>
    </row>
    <row r="880" spans="5:5" ht="15.75" customHeight="1">
      <c r="E880" s="18"/>
    </row>
    <row r="881" spans="5:5" ht="15.75" customHeight="1">
      <c r="E881" s="18"/>
    </row>
    <row r="882" spans="5:5" ht="15.75" customHeight="1">
      <c r="E882" s="18"/>
    </row>
    <row r="883" spans="5:5" ht="15.75" customHeight="1">
      <c r="E883" s="18"/>
    </row>
    <row r="884" spans="5:5" ht="15.75" customHeight="1">
      <c r="E884" s="18"/>
    </row>
    <row r="885" spans="5:5" ht="15.75" customHeight="1">
      <c r="E885" s="18"/>
    </row>
    <row r="886" spans="5:5" ht="15.75" customHeight="1">
      <c r="E886" s="18"/>
    </row>
    <row r="887" spans="5:5" ht="15.75" customHeight="1">
      <c r="E887" s="18"/>
    </row>
    <row r="888" spans="5:5" ht="15.75" customHeight="1">
      <c r="E888" s="18"/>
    </row>
    <row r="889" spans="5:5" ht="15.75" customHeight="1">
      <c r="E889" s="18"/>
    </row>
    <row r="890" spans="5:5" ht="15.75" customHeight="1">
      <c r="E890" s="18"/>
    </row>
    <row r="891" spans="5:5" ht="15.75" customHeight="1">
      <c r="E891" s="18"/>
    </row>
    <row r="892" spans="5:5" ht="15.75" customHeight="1">
      <c r="E892" s="18"/>
    </row>
    <row r="893" spans="5:5" ht="15.75" customHeight="1">
      <c r="E893" s="18"/>
    </row>
    <row r="894" spans="5:5" ht="15.75" customHeight="1">
      <c r="E894" s="18"/>
    </row>
    <row r="895" spans="5:5" ht="15.75" customHeight="1">
      <c r="E895" s="18"/>
    </row>
    <row r="896" spans="5:5" ht="15.75" customHeight="1">
      <c r="E896" s="18"/>
    </row>
    <row r="897" spans="5:5" ht="15.75" customHeight="1">
      <c r="E897" s="18"/>
    </row>
    <row r="898" spans="5:5" ht="15.75" customHeight="1">
      <c r="E898" s="18"/>
    </row>
    <row r="899" spans="5:5" ht="15.75" customHeight="1">
      <c r="E899" s="18"/>
    </row>
    <row r="900" spans="5:5" ht="15.75" customHeight="1">
      <c r="E900" s="18"/>
    </row>
    <row r="901" spans="5:5" ht="15.75" customHeight="1">
      <c r="E901" s="18"/>
    </row>
    <row r="902" spans="5:5" ht="15.75" customHeight="1">
      <c r="E902" s="18"/>
    </row>
    <row r="903" spans="5:5" ht="15.75" customHeight="1">
      <c r="E903" s="18"/>
    </row>
    <row r="904" spans="5:5" ht="15.75" customHeight="1">
      <c r="E904" s="18"/>
    </row>
    <row r="905" spans="5:5" ht="15.75" customHeight="1">
      <c r="E905" s="18"/>
    </row>
    <row r="906" spans="5:5" ht="15.75" customHeight="1">
      <c r="E906" s="18"/>
    </row>
    <row r="907" spans="5:5" ht="15.75" customHeight="1">
      <c r="E907" s="18"/>
    </row>
    <row r="908" spans="5:5" ht="15.75" customHeight="1">
      <c r="E908" s="18"/>
    </row>
    <row r="909" spans="5:5" ht="15.75" customHeight="1">
      <c r="E909" s="18"/>
    </row>
    <row r="910" spans="5:5" ht="15.75" customHeight="1">
      <c r="E910" s="18"/>
    </row>
    <row r="911" spans="5:5" ht="15.75" customHeight="1">
      <c r="E911" s="18"/>
    </row>
    <row r="912" spans="5:5" ht="15.75" customHeight="1">
      <c r="E912" s="18"/>
    </row>
    <row r="913" spans="5:5" ht="15.75" customHeight="1">
      <c r="E913" s="18"/>
    </row>
    <row r="914" spans="5:5" ht="15.75" customHeight="1">
      <c r="E914" s="18"/>
    </row>
    <row r="915" spans="5:5" ht="15.75" customHeight="1">
      <c r="E915" s="18"/>
    </row>
    <row r="916" spans="5:5" ht="15.75" customHeight="1">
      <c r="E916" s="18"/>
    </row>
    <row r="917" spans="5:5" ht="15.75" customHeight="1">
      <c r="E917" s="18"/>
    </row>
    <row r="918" spans="5:5" ht="15.75" customHeight="1">
      <c r="E918" s="18"/>
    </row>
    <row r="919" spans="5:5" ht="15.75" customHeight="1">
      <c r="E919" s="18"/>
    </row>
    <row r="920" spans="5:5" ht="15.75" customHeight="1">
      <c r="E920" s="18"/>
    </row>
    <row r="921" spans="5:5" ht="15.75" customHeight="1">
      <c r="E921" s="18"/>
    </row>
    <row r="922" spans="5:5" ht="15.75" customHeight="1">
      <c r="E922" s="18"/>
    </row>
    <row r="923" spans="5:5" ht="15.75" customHeight="1">
      <c r="E923" s="18"/>
    </row>
    <row r="924" spans="5:5" ht="15.75" customHeight="1">
      <c r="E924" s="18"/>
    </row>
    <row r="925" spans="5:5" ht="15.75" customHeight="1">
      <c r="E925" s="18"/>
    </row>
    <row r="926" spans="5:5" ht="15.75" customHeight="1">
      <c r="E926" s="18"/>
    </row>
    <row r="927" spans="5:5" ht="15.75" customHeight="1">
      <c r="E927" s="18"/>
    </row>
    <row r="928" spans="5:5" ht="15.75" customHeight="1">
      <c r="E928" s="18"/>
    </row>
    <row r="929" spans="5:5" ht="15.75" customHeight="1">
      <c r="E929" s="18"/>
    </row>
    <row r="930" spans="5:5" ht="15.75" customHeight="1">
      <c r="E930" s="18"/>
    </row>
    <row r="931" spans="5:5" ht="15.75" customHeight="1">
      <c r="E931" s="18"/>
    </row>
    <row r="932" spans="5:5" ht="15.75" customHeight="1">
      <c r="E932" s="18"/>
    </row>
    <row r="933" spans="5:5" ht="15.75" customHeight="1">
      <c r="E933" s="18"/>
    </row>
    <row r="934" spans="5:5" ht="15.75" customHeight="1">
      <c r="E934" s="18"/>
    </row>
    <row r="935" spans="5:5" ht="15.75" customHeight="1">
      <c r="E935" s="18"/>
    </row>
    <row r="936" spans="5:5" ht="15.75" customHeight="1">
      <c r="E936" s="18"/>
    </row>
    <row r="937" spans="5:5" ht="15.75" customHeight="1">
      <c r="E937" s="18"/>
    </row>
    <row r="938" spans="5:5" ht="15.75" customHeight="1">
      <c r="E938" s="18"/>
    </row>
    <row r="939" spans="5:5" ht="15.75" customHeight="1">
      <c r="E939" s="18"/>
    </row>
    <row r="940" spans="5:5" ht="15.75" customHeight="1">
      <c r="E940" s="18"/>
    </row>
    <row r="941" spans="5:5" ht="15.75" customHeight="1">
      <c r="E941" s="18"/>
    </row>
    <row r="942" spans="5:5" ht="15.75" customHeight="1">
      <c r="E942" s="18"/>
    </row>
    <row r="943" spans="5:5" ht="15.75" customHeight="1">
      <c r="E943" s="18"/>
    </row>
    <row r="944" spans="5:5" ht="15.75" customHeight="1">
      <c r="E944" s="18"/>
    </row>
    <row r="945" spans="5:5" ht="15.75" customHeight="1">
      <c r="E945" s="18"/>
    </row>
    <row r="946" spans="5:5" ht="15.75" customHeight="1">
      <c r="E946" s="18"/>
    </row>
    <row r="947" spans="5:5" ht="15.75" customHeight="1">
      <c r="E947" s="18"/>
    </row>
    <row r="948" spans="5:5" ht="15.75" customHeight="1">
      <c r="E948" s="18"/>
    </row>
    <row r="949" spans="5:5" ht="15.75" customHeight="1">
      <c r="E949" s="18"/>
    </row>
    <row r="950" spans="5:5" ht="15.75" customHeight="1">
      <c r="E950" s="18"/>
    </row>
    <row r="951" spans="5:5" ht="15.75" customHeight="1">
      <c r="E951" s="18"/>
    </row>
    <row r="952" spans="5:5" ht="15.75" customHeight="1">
      <c r="E952" s="18"/>
    </row>
    <row r="953" spans="5:5" ht="15.75" customHeight="1">
      <c r="E953" s="18"/>
    </row>
    <row r="954" spans="5:5" ht="15.75" customHeight="1">
      <c r="E954" s="18"/>
    </row>
    <row r="955" spans="5:5" ht="15.75" customHeight="1">
      <c r="E955" s="18"/>
    </row>
    <row r="956" spans="5:5" ht="15.75" customHeight="1">
      <c r="E956" s="18"/>
    </row>
    <row r="957" spans="5:5" ht="15.75" customHeight="1">
      <c r="E957" s="18"/>
    </row>
    <row r="958" spans="5:5" ht="15.75" customHeight="1">
      <c r="E958" s="18"/>
    </row>
    <row r="959" spans="5:5" ht="15.75" customHeight="1">
      <c r="E959" s="18"/>
    </row>
    <row r="960" spans="5:5" ht="15.75" customHeight="1">
      <c r="E960" s="18"/>
    </row>
    <row r="961" spans="5:5" ht="15.75" customHeight="1">
      <c r="E961" s="18"/>
    </row>
    <row r="962" spans="5:5" ht="15.75" customHeight="1">
      <c r="E962" s="18"/>
    </row>
    <row r="963" spans="5:5" ht="15.75" customHeight="1">
      <c r="E963" s="18"/>
    </row>
    <row r="964" spans="5:5" ht="15.75" customHeight="1">
      <c r="E964" s="18"/>
    </row>
    <row r="965" spans="5:5" ht="15.75" customHeight="1">
      <c r="E965" s="18"/>
    </row>
    <row r="966" spans="5:5" ht="15.75" customHeight="1">
      <c r="E966" s="18"/>
    </row>
    <row r="967" spans="5:5" ht="15.75" customHeight="1">
      <c r="E967" s="18"/>
    </row>
    <row r="968" spans="5:5" ht="15.75" customHeight="1">
      <c r="E968" s="18"/>
    </row>
    <row r="969" spans="5:5" ht="15.75" customHeight="1">
      <c r="E969" s="18"/>
    </row>
    <row r="970" spans="5:5" ht="15.75" customHeight="1">
      <c r="E970" s="18"/>
    </row>
    <row r="971" spans="5:5" ht="15.75" customHeight="1">
      <c r="E971" s="18"/>
    </row>
    <row r="972" spans="5:5" ht="15.75" customHeight="1">
      <c r="E972" s="18"/>
    </row>
    <row r="973" spans="5:5" ht="15.75" customHeight="1">
      <c r="E973" s="18"/>
    </row>
    <row r="974" spans="5:5" ht="15.75" customHeight="1">
      <c r="E974" s="18"/>
    </row>
    <row r="975" spans="5:5" ht="15.75" customHeight="1">
      <c r="E975" s="18"/>
    </row>
    <row r="976" spans="5:5" ht="15.75" customHeight="1">
      <c r="E976" s="18"/>
    </row>
    <row r="977" spans="5:5" ht="15.75" customHeight="1">
      <c r="E977" s="18"/>
    </row>
    <row r="978" spans="5:5" ht="15.75" customHeight="1">
      <c r="E978" s="18"/>
    </row>
    <row r="979" spans="5:5" ht="15.75" customHeight="1">
      <c r="E979" s="18"/>
    </row>
    <row r="980" spans="5:5" ht="15.75" customHeight="1">
      <c r="E980" s="18"/>
    </row>
    <row r="981" spans="5:5" ht="15.75" customHeight="1">
      <c r="E981" s="18"/>
    </row>
    <row r="982" spans="5:5" ht="15.75" customHeight="1">
      <c r="E982" s="18"/>
    </row>
    <row r="983" spans="5:5" ht="15.75" customHeight="1">
      <c r="E983" s="18"/>
    </row>
    <row r="984" spans="5:5" ht="15.75" customHeight="1">
      <c r="E984" s="18"/>
    </row>
    <row r="985" spans="5:5" ht="15.75" customHeight="1">
      <c r="E985" s="18"/>
    </row>
    <row r="986" spans="5:5" ht="15.75" customHeight="1">
      <c r="E986" s="18"/>
    </row>
    <row r="987" spans="5:5" ht="15.75" customHeight="1">
      <c r="E987" s="18"/>
    </row>
    <row r="988" spans="5:5" ht="15.75" customHeight="1">
      <c r="E988" s="18"/>
    </row>
    <row r="989" spans="5:5" ht="15.75" customHeight="1">
      <c r="E989" s="18"/>
    </row>
    <row r="990" spans="5:5" ht="15.75" customHeight="1">
      <c r="E990" s="18"/>
    </row>
    <row r="991" spans="5:5" ht="15.75" customHeight="1">
      <c r="E991" s="18"/>
    </row>
    <row r="992" spans="5:5" ht="15.75" customHeight="1">
      <c r="E992" s="18"/>
    </row>
    <row r="993" spans="5:5" ht="15.75" customHeight="1">
      <c r="E993" s="18"/>
    </row>
    <row r="994" spans="5:5" ht="15.75" customHeight="1">
      <c r="E994" s="18"/>
    </row>
    <row r="995" spans="5:5" ht="15.75" customHeight="1">
      <c r="E995" s="18"/>
    </row>
    <row r="996" spans="5:5" ht="15.75" customHeight="1">
      <c r="E996" s="18"/>
    </row>
  </sheetData>
  <conditionalFormatting sqref="B7:C7">
    <cfRule type="colorScale" priority="1">
      <colorScale>
        <cfvo type="min" val="0"/>
        <cfvo type="max" val="0"/>
        <color rgb="FF57BB8A"/>
        <color rgb="FFFFFFFF"/>
      </colorScale>
    </cfRule>
  </conditionalFormatting>
  <conditionalFormatting sqref="B8:C8 B2:C6 B10:C39 D2:E39">
    <cfRule type="colorScale" priority="8">
      <colorScale>
        <cfvo type="min" val="0"/>
        <cfvo type="max" val="0"/>
        <color rgb="FF57BB8A"/>
        <color rgb="FFFFFFFF"/>
      </colorScale>
    </cfRule>
  </conditionalFormatting>
  <dataValidations count="1">
    <dataValidation type="list" allowBlank="1" showErrorMessage="1" sqref="E2:E35">
      <formula1>"COORD,C,H,M"</formula1>
    </dataValidation>
  </dataValidations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  <outlinePr summaryBelow="0" summaryRight="0"/>
  </sheetPr>
  <dimension ref="A1:AJ994"/>
  <sheetViews>
    <sheetView workbookViewId="0">
      <pane ySplit="1" topLeftCell="A2" activePane="bottomLeft" state="frozen"/>
      <selection pane="bottomLeft" activeCell="A39" sqref="A39:XFD39"/>
    </sheetView>
  </sheetViews>
  <sheetFormatPr defaultColWidth="14.453125" defaultRowHeight="15" customHeight="1"/>
  <cols>
    <col min="1" max="1" width="3.7265625" customWidth="1"/>
    <col min="2" max="2" width="65.453125" customWidth="1"/>
    <col min="3" max="3" width="38.26953125" customWidth="1"/>
    <col min="4" max="4" width="38" customWidth="1"/>
    <col min="5" max="5" width="13.08984375" customWidth="1"/>
    <col min="6" max="6" width="70.26953125" customWidth="1"/>
    <col min="7" max="7" width="24.453125" customWidth="1"/>
  </cols>
  <sheetData>
    <row r="1" spans="1:36" ht="15.5">
      <c r="A1" s="1" t="s">
        <v>0</v>
      </c>
      <c r="B1" s="1" t="s">
        <v>1</v>
      </c>
      <c r="C1" s="2" t="s">
        <v>2</v>
      </c>
      <c r="D1" s="1" t="s">
        <v>27</v>
      </c>
      <c r="E1" s="226"/>
      <c r="F1" s="1" t="s">
        <v>41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ht="15.5">
      <c r="A2" s="4">
        <v>1</v>
      </c>
      <c r="B2" s="9" t="s">
        <v>352</v>
      </c>
      <c r="C2" s="9" t="s">
        <v>353</v>
      </c>
      <c r="D2" s="199"/>
      <c r="E2" s="7" t="s">
        <v>30</v>
      </c>
      <c r="F2" s="227"/>
      <c r="G2" s="228"/>
      <c r="H2" s="228"/>
      <c r="I2" s="229"/>
      <c r="J2" s="229"/>
      <c r="K2" s="229"/>
      <c r="L2" s="230"/>
      <c r="M2" s="230"/>
      <c r="N2" s="230"/>
      <c r="O2" s="230"/>
      <c r="P2" s="230"/>
      <c r="Q2" s="229"/>
      <c r="R2" s="229"/>
      <c r="S2" s="46"/>
      <c r="T2" s="46"/>
      <c r="U2" s="46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15.5">
      <c r="A3" s="8">
        <v>2</v>
      </c>
      <c r="B3" s="9" t="s">
        <v>354</v>
      </c>
      <c r="C3" s="31" t="s">
        <v>355</v>
      </c>
      <c r="D3" s="199"/>
      <c r="E3" s="7" t="s">
        <v>30</v>
      </c>
      <c r="F3" s="227"/>
      <c r="G3" s="231"/>
      <c r="H3" s="231"/>
      <c r="I3" s="232"/>
      <c r="J3" s="232"/>
      <c r="K3" s="232"/>
      <c r="L3" s="233"/>
      <c r="M3" s="233"/>
      <c r="N3" s="233"/>
      <c r="O3" s="233"/>
      <c r="P3" s="233"/>
      <c r="Q3" s="232"/>
      <c r="R3" s="232"/>
      <c r="S3" s="234"/>
      <c r="T3" s="234"/>
      <c r="U3" s="234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5"/>
    </row>
    <row r="4" spans="1:36" ht="15.5">
      <c r="A4" s="55">
        <v>3</v>
      </c>
      <c r="B4" s="56" t="s">
        <v>356</v>
      </c>
      <c r="C4" s="56" t="s">
        <v>357</v>
      </c>
      <c r="D4" s="236"/>
      <c r="E4" s="237" t="s">
        <v>78</v>
      </c>
      <c r="F4" s="238"/>
      <c r="G4" s="228"/>
      <c r="H4" s="228"/>
      <c r="I4" s="239"/>
      <c r="J4" s="240"/>
      <c r="K4" s="239"/>
      <c r="L4" s="239"/>
      <c r="M4" s="239"/>
      <c r="N4" s="240"/>
      <c r="O4" s="239"/>
      <c r="P4" s="240"/>
      <c r="Q4" s="239"/>
      <c r="R4" s="239"/>
      <c r="S4" s="46"/>
      <c r="T4" s="46"/>
      <c r="U4" s="46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15.75" customHeight="1">
      <c r="A5" s="55">
        <v>4</v>
      </c>
      <c r="B5" s="23" t="s">
        <v>358</v>
      </c>
      <c r="C5" s="23" t="s">
        <v>359</v>
      </c>
      <c r="D5" s="201"/>
      <c r="E5" s="201" t="s">
        <v>78</v>
      </c>
      <c r="F5" s="238"/>
      <c r="G5" s="228"/>
      <c r="H5" s="228"/>
      <c r="I5" s="239"/>
      <c r="J5" s="239"/>
      <c r="K5" s="239"/>
      <c r="L5" s="239"/>
      <c r="M5" s="239"/>
      <c r="N5" s="240"/>
      <c r="O5" s="240"/>
      <c r="P5" s="239"/>
      <c r="Q5" s="239"/>
      <c r="R5" s="240"/>
      <c r="S5" s="46"/>
      <c r="T5" s="46"/>
      <c r="U5" s="46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15.5">
      <c r="A6" s="55">
        <v>5</v>
      </c>
      <c r="B6" s="23" t="s">
        <v>360</v>
      </c>
      <c r="C6" s="23" t="s">
        <v>361</v>
      </c>
      <c r="D6" s="57"/>
      <c r="E6" s="23" t="s">
        <v>78</v>
      </c>
      <c r="F6" s="166"/>
      <c r="G6" s="228"/>
      <c r="H6" s="228"/>
      <c r="I6" s="228"/>
      <c r="J6" s="240"/>
      <c r="K6" s="240"/>
      <c r="L6" s="241"/>
      <c r="M6" s="241"/>
      <c r="N6" s="241"/>
      <c r="O6" s="240"/>
      <c r="P6" s="240"/>
      <c r="Q6" s="241"/>
      <c r="R6" s="241"/>
      <c r="S6" s="24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15.5">
      <c r="A7" s="242">
        <v>6</v>
      </c>
      <c r="B7" s="23" t="s">
        <v>362</v>
      </c>
      <c r="C7" s="23" t="s">
        <v>363</v>
      </c>
      <c r="D7" s="237"/>
      <c r="E7" s="243" t="s">
        <v>78</v>
      </c>
      <c r="F7" s="68"/>
      <c r="G7" s="244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</row>
    <row r="8" spans="1:36" ht="15.5">
      <c r="A8" s="55">
        <v>7</v>
      </c>
      <c r="B8" s="23" t="s">
        <v>364</v>
      </c>
      <c r="C8" s="23" t="s">
        <v>365</v>
      </c>
      <c r="D8" s="68"/>
      <c r="E8" s="69" t="s">
        <v>78</v>
      </c>
      <c r="F8" s="245"/>
      <c r="G8" s="246"/>
      <c r="H8" s="246"/>
      <c r="I8" s="247"/>
      <c r="J8" s="247"/>
      <c r="K8" s="247"/>
      <c r="L8" s="248"/>
      <c r="M8" s="248"/>
      <c r="N8" s="248"/>
      <c r="O8" s="248"/>
      <c r="P8" s="248"/>
      <c r="Q8" s="248"/>
      <c r="R8" s="248"/>
      <c r="S8" s="249"/>
      <c r="T8" s="249"/>
      <c r="U8" s="249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</row>
    <row r="9" spans="1:36" ht="15.5">
      <c r="A9" s="204">
        <v>9</v>
      </c>
      <c r="B9" s="251" t="s">
        <v>366</v>
      </c>
      <c r="C9" s="81" t="s">
        <v>367</v>
      </c>
      <c r="D9" s="82"/>
      <c r="E9" s="91" t="s">
        <v>17</v>
      </c>
      <c r="F9" s="252"/>
      <c r="G9" s="246"/>
      <c r="H9" s="246"/>
      <c r="I9" s="247"/>
      <c r="J9" s="247"/>
      <c r="K9" s="247"/>
      <c r="L9" s="248"/>
      <c r="M9" s="248"/>
      <c r="N9" s="248"/>
      <c r="O9" s="248"/>
      <c r="P9" s="248"/>
      <c r="Q9" s="248"/>
      <c r="R9" s="248"/>
      <c r="S9" s="249"/>
      <c r="T9" s="249"/>
      <c r="U9" s="249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</row>
    <row r="10" spans="1:36" ht="15.75" customHeight="1">
      <c r="A10" s="253">
        <v>10</v>
      </c>
      <c r="B10" s="42" t="s">
        <v>368</v>
      </c>
      <c r="C10" s="42" t="s">
        <v>369</v>
      </c>
      <c r="D10" s="254"/>
      <c r="E10" s="255" t="s">
        <v>17</v>
      </c>
      <c r="F10" s="205"/>
      <c r="G10" s="246"/>
      <c r="H10" s="246"/>
      <c r="I10" s="256"/>
      <c r="J10" s="256"/>
      <c r="K10" s="247"/>
      <c r="L10" s="256"/>
      <c r="M10" s="256"/>
      <c r="N10" s="247"/>
      <c r="O10" s="256"/>
      <c r="P10" s="256"/>
      <c r="Q10" s="247"/>
      <c r="R10" s="247"/>
      <c r="S10" s="249"/>
      <c r="T10" s="249"/>
      <c r="U10" s="249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</row>
    <row r="11" spans="1:36" ht="15.5">
      <c r="A11" s="204">
        <v>11</v>
      </c>
      <c r="B11" s="42" t="s">
        <v>370</v>
      </c>
      <c r="C11" s="42" t="s">
        <v>371</v>
      </c>
      <c r="D11" s="79"/>
      <c r="E11" s="79" t="s">
        <v>17</v>
      </c>
      <c r="F11" s="205"/>
      <c r="G11" s="246"/>
      <c r="H11" s="246"/>
      <c r="I11" s="247"/>
      <c r="J11" s="247"/>
      <c r="K11" s="247"/>
      <c r="L11" s="248"/>
      <c r="M11" s="248"/>
      <c r="N11" s="248"/>
      <c r="O11" s="248"/>
      <c r="P11" s="248"/>
      <c r="Q11" s="248"/>
      <c r="R11" s="248"/>
      <c r="S11" s="249"/>
      <c r="T11" s="249"/>
      <c r="U11" s="249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</row>
    <row r="12" spans="1:36" ht="15.5">
      <c r="A12" s="204">
        <v>12</v>
      </c>
      <c r="B12" s="42" t="s">
        <v>372</v>
      </c>
      <c r="C12" s="42" t="s">
        <v>373</v>
      </c>
      <c r="D12" s="257"/>
      <c r="E12" s="255" t="s">
        <v>7</v>
      </c>
      <c r="F12" s="252"/>
      <c r="G12" s="246"/>
      <c r="H12" s="246"/>
      <c r="I12" s="256"/>
      <c r="J12" s="256"/>
      <c r="K12" s="256"/>
      <c r="L12" s="256"/>
      <c r="M12" s="256"/>
      <c r="N12" s="247"/>
      <c r="O12" s="247"/>
      <c r="P12" s="256"/>
      <c r="Q12" s="247"/>
      <c r="R12" s="247"/>
      <c r="S12" s="249"/>
      <c r="T12" s="249"/>
      <c r="U12" s="249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</row>
    <row r="13" spans="1:36" ht="14.25" customHeight="1">
      <c r="A13" s="204">
        <v>14</v>
      </c>
      <c r="B13" s="110" t="s">
        <v>374</v>
      </c>
      <c r="C13" s="110" t="s">
        <v>375</v>
      </c>
      <c r="D13" s="107"/>
      <c r="E13" s="81" t="s">
        <v>7</v>
      </c>
      <c r="F13" s="252"/>
      <c r="G13" s="246"/>
      <c r="H13" s="246"/>
      <c r="I13" s="256"/>
      <c r="J13" s="256"/>
      <c r="K13" s="256"/>
      <c r="L13" s="256"/>
      <c r="M13" s="256"/>
      <c r="N13" s="247"/>
      <c r="O13" s="247"/>
      <c r="P13" s="256"/>
      <c r="Q13" s="247"/>
      <c r="R13" s="247"/>
      <c r="S13" s="249"/>
      <c r="T13" s="249"/>
      <c r="U13" s="249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</row>
    <row r="14" spans="1:36" ht="15.5">
      <c r="A14" s="204">
        <v>16</v>
      </c>
      <c r="B14" s="45" t="s">
        <v>376</v>
      </c>
      <c r="C14" s="45" t="s">
        <v>377</v>
      </c>
      <c r="D14" s="109"/>
      <c r="E14" s="42" t="s">
        <v>17</v>
      </c>
      <c r="F14" s="205"/>
      <c r="G14" s="246"/>
      <c r="H14" s="246"/>
      <c r="I14" s="256"/>
      <c r="J14" s="247"/>
      <c r="K14" s="256"/>
      <c r="L14" s="256"/>
      <c r="M14" s="256"/>
      <c r="N14" s="247"/>
      <c r="O14" s="256"/>
      <c r="P14" s="247"/>
      <c r="Q14" s="256"/>
      <c r="R14" s="247"/>
      <c r="S14" s="249"/>
      <c r="T14" s="249"/>
      <c r="U14" s="249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</row>
    <row r="15" spans="1:36" ht="15.5">
      <c r="A15" s="204">
        <v>17</v>
      </c>
      <c r="B15" s="44" t="s">
        <v>378</v>
      </c>
      <c r="C15" s="45" t="s">
        <v>379</v>
      </c>
      <c r="D15" s="258"/>
      <c r="E15" s="79" t="s">
        <v>7</v>
      </c>
      <c r="F15" s="205"/>
      <c r="G15" s="246"/>
      <c r="H15" s="246"/>
      <c r="I15" s="256"/>
      <c r="J15" s="247"/>
      <c r="K15" s="256"/>
      <c r="L15" s="256"/>
      <c r="M15" s="256"/>
      <c r="N15" s="247"/>
      <c r="O15" s="256"/>
      <c r="P15" s="247"/>
      <c r="Q15" s="256"/>
      <c r="R15" s="247"/>
      <c r="S15" s="249"/>
      <c r="T15" s="249"/>
      <c r="U15" s="249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</row>
    <row r="16" spans="1:36" ht="15.5">
      <c r="A16" s="204">
        <v>18</v>
      </c>
      <c r="B16" s="44" t="s">
        <v>380</v>
      </c>
      <c r="C16" s="45" t="s">
        <v>381</v>
      </c>
      <c r="D16" s="259"/>
      <c r="E16" s="79" t="s">
        <v>17</v>
      </c>
      <c r="F16" s="205"/>
      <c r="G16" s="246"/>
      <c r="H16" s="246"/>
      <c r="I16" s="256"/>
      <c r="J16" s="247"/>
      <c r="K16" s="256"/>
      <c r="L16" s="256"/>
      <c r="M16" s="256"/>
      <c r="N16" s="247"/>
      <c r="O16" s="256"/>
      <c r="P16" s="247"/>
      <c r="Q16" s="256"/>
      <c r="R16" s="247"/>
      <c r="S16" s="249"/>
      <c r="T16" s="249"/>
      <c r="U16" s="249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</row>
    <row r="17" spans="1:36" ht="15.5">
      <c r="A17" s="204">
        <v>19</v>
      </c>
      <c r="B17" s="44" t="s">
        <v>382</v>
      </c>
      <c r="C17" s="45" t="s">
        <v>383</v>
      </c>
      <c r="D17" s="260"/>
      <c r="E17" s="261" t="s">
        <v>7</v>
      </c>
      <c r="F17" s="205"/>
      <c r="G17" s="246"/>
      <c r="H17" s="246"/>
      <c r="I17" s="247"/>
      <c r="J17" s="247"/>
      <c r="K17" s="256"/>
      <c r="L17" s="248"/>
      <c r="M17" s="248"/>
      <c r="N17" s="248"/>
      <c r="O17" s="248"/>
      <c r="P17" s="248"/>
      <c r="Q17" s="248"/>
      <c r="R17" s="248"/>
      <c r="S17" s="249"/>
      <c r="T17" s="249"/>
      <c r="U17" s="249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</row>
    <row r="18" spans="1:36" ht="15.5">
      <c r="A18" s="204">
        <v>20</v>
      </c>
      <c r="B18" s="45" t="s">
        <v>384</v>
      </c>
      <c r="C18" s="112" t="s">
        <v>385</v>
      </c>
      <c r="D18" s="42"/>
      <c r="E18" s="42" t="s">
        <v>17</v>
      </c>
      <c r="F18" s="205"/>
      <c r="G18" s="246"/>
      <c r="H18" s="246"/>
      <c r="I18" s="247"/>
      <c r="J18" s="247"/>
      <c r="K18" s="256"/>
      <c r="L18" s="248"/>
      <c r="M18" s="248"/>
      <c r="N18" s="248"/>
      <c r="O18" s="248"/>
      <c r="P18" s="248"/>
      <c r="Q18" s="248"/>
      <c r="R18" s="248"/>
      <c r="S18" s="249"/>
      <c r="T18" s="249"/>
      <c r="U18" s="249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</row>
    <row r="19" spans="1:36" ht="15.5">
      <c r="A19" s="204">
        <v>21</v>
      </c>
      <c r="B19" s="45" t="s">
        <v>386</v>
      </c>
      <c r="C19" s="45" t="s">
        <v>387</v>
      </c>
      <c r="D19" s="262"/>
      <c r="E19" s="263" t="s">
        <v>7</v>
      </c>
      <c r="F19" s="205"/>
      <c r="G19" s="246"/>
      <c r="H19" s="246"/>
      <c r="I19" s="247"/>
      <c r="J19" s="247"/>
      <c r="K19" s="256"/>
      <c r="L19" s="248"/>
      <c r="M19" s="248"/>
      <c r="N19" s="248"/>
      <c r="O19" s="248"/>
      <c r="P19" s="248"/>
      <c r="Q19" s="248"/>
      <c r="R19" s="248"/>
      <c r="S19" s="249"/>
      <c r="T19" s="249"/>
      <c r="U19" s="249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</row>
    <row r="20" spans="1:36" ht="15.5">
      <c r="A20" s="204">
        <v>22</v>
      </c>
      <c r="B20" s="45" t="s">
        <v>388</v>
      </c>
      <c r="C20" s="45" t="s">
        <v>389</v>
      </c>
      <c r="D20" s="203"/>
      <c r="E20" s="79" t="s">
        <v>7</v>
      </c>
      <c r="F20" s="205"/>
      <c r="G20" s="246"/>
      <c r="H20" s="246"/>
      <c r="I20" s="247"/>
      <c r="J20" s="247"/>
      <c r="K20" s="247"/>
      <c r="L20" s="248"/>
      <c r="M20" s="248"/>
      <c r="N20" s="248"/>
      <c r="O20" s="248"/>
      <c r="P20" s="248"/>
      <c r="Q20" s="248"/>
      <c r="R20" s="248"/>
      <c r="S20" s="249"/>
      <c r="T20" s="249"/>
      <c r="U20" s="249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</row>
    <row r="21" spans="1:36" ht="15.5">
      <c r="A21" s="204">
        <v>23</v>
      </c>
      <c r="B21" s="97" t="s">
        <v>390</v>
      </c>
      <c r="C21" s="97" t="s">
        <v>391</v>
      </c>
      <c r="D21" s="257"/>
      <c r="E21" s="255" t="s">
        <v>7</v>
      </c>
      <c r="F21" s="205"/>
      <c r="G21" s="246"/>
      <c r="H21" s="246"/>
      <c r="I21" s="247"/>
      <c r="J21" s="247"/>
      <c r="K21" s="247"/>
      <c r="L21" s="248"/>
      <c r="M21" s="248"/>
      <c r="N21" s="248"/>
      <c r="O21" s="248"/>
      <c r="P21" s="248"/>
      <c r="Q21" s="248"/>
      <c r="R21" s="248"/>
      <c r="S21" s="249"/>
      <c r="T21" s="249"/>
      <c r="U21" s="249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</row>
    <row r="22" spans="1:36" ht="15.5">
      <c r="A22" s="204">
        <v>24</v>
      </c>
      <c r="B22" s="45" t="s">
        <v>392</v>
      </c>
      <c r="C22" s="45" t="s">
        <v>393</v>
      </c>
      <c r="D22" s="203"/>
      <c r="E22" s="79" t="s">
        <v>17</v>
      </c>
      <c r="F22" s="205"/>
      <c r="G22" s="246"/>
      <c r="H22" s="246"/>
      <c r="I22" s="247"/>
      <c r="J22" s="247"/>
      <c r="K22" s="247"/>
      <c r="L22" s="248"/>
      <c r="M22" s="248"/>
      <c r="N22" s="248"/>
      <c r="O22" s="248"/>
      <c r="P22" s="248"/>
      <c r="Q22" s="248"/>
      <c r="R22" s="248"/>
      <c r="S22" s="249"/>
      <c r="T22" s="249"/>
      <c r="U22" s="249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</row>
    <row r="23" spans="1:36" ht="15.5">
      <c r="A23" s="204">
        <v>25</v>
      </c>
      <c r="B23" s="45" t="s">
        <v>394</v>
      </c>
      <c r="C23" s="45" t="s">
        <v>395</v>
      </c>
      <c r="D23" s="258"/>
      <c r="E23" s="79" t="s">
        <v>17</v>
      </c>
      <c r="F23" s="205"/>
      <c r="G23" s="246"/>
      <c r="H23" s="246"/>
      <c r="I23" s="247"/>
      <c r="J23" s="247"/>
      <c r="K23" s="247"/>
      <c r="L23" s="248"/>
      <c r="M23" s="248"/>
      <c r="N23" s="248"/>
      <c r="O23" s="248"/>
      <c r="P23" s="248"/>
      <c r="Q23" s="248"/>
      <c r="R23" s="248"/>
      <c r="S23" s="249"/>
      <c r="T23" s="249"/>
      <c r="U23" s="249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</row>
    <row r="24" spans="1:36" ht="15.5">
      <c r="A24" s="204">
        <v>26</v>
      </c>
      <c r="B24" s="103" t="s">
        <v>396</v>
      </c>
      <c r="C24" s="264" t="s">
        <v>397</v>
      </c>
      <c r="D24" s="81"/>
      <c r="E24" s="81" t="s">
        <v>17</v>
      </c>
      <c r="F24" s="252"/>
      <c r="G24" s="246"/>
      <c r="H24" s="246"/>
      <c r="I24" s="247"/>
      <c r="J24" s="247"/>
      <c r="K24" s="247"/>
      <c r="L24" s="248"/>
      <c r="M24" s="248"/>
      <c r="N24" s="248"/>
      <c r="O24" s="248"/>
      <c r="P24" s="248"/>
      <c r="Q24" s="248"/>
      <c r="R24" s="248"/>
      <c r="S24" s="249"/>
      <c r="T24" s="249"/>
      <c r="U24" s="249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</row>
    <row r="25" spans="1:36" ht="15.75" customHeight="1">
      <c r="A25" s="204">
        <v>27</v>
      </c>
      <c r="B25" s="45" t="s">
        <v>398</v>
      </c>
      <c r="C25" s="112" t="s">
        <v>399</v>
      </c>
      <c r="D25" s="82"/>
      <c r="E25" s="265" t="s">
        <v>17</v>
      </c>
      <c r="F25" s="252"/>
      <c r="G25" s="246"/>
      <c r="H25" s="246"/>
      <c r="I25" s="266"/>
      <c r="J25" s="266"/>
      <c r="K25" s="266"/>
      <c r="L25" s="266"/>
      <c r="M25" s="266"/>
      <c r="N25" s="247"/>
      <c r="O25" s="247"/>
      <c r="P25" s="256"/>
      <c r="Q25" s="256"/>
      <c r="R25" s="256"/>
      <c r="S25" s="249"/>
      <c r="T25" s="249"/>
      <c r="U25" s="249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</row>
    <row r="26" spans="1:36" ht="15.75" customHeight="1">
      <c r="A26" s="204">
        <v>28</v>
      </c>
      <c r="B26" s="45" t="s">
        <v>400</v>
      </c>
      <c r="C26" s="45" t="s">
        <v>401</v>
      </c>
      <c r="D26" s="109"/>
      <c r="E26" s="251" t="s">
        <v>7</v>
      </c>
      <c r="F26" s="252"/>
      <c r="G26" s="246"/>
      <c r="H26" s="246"/>
      <c r="I26" s="266"/>
      <c r="J26" s="266"/>
      <c r="K26" s="266"/>
      <c r="L26" s="266"/>
      <c r="M26" s="266"/>
      <c r="N26" s="247"/>
      <c r="O26" s="247"/>
      <c r="P26" s="256"/>
      <c r="Q26" s="256"/>
      <c r="R26" s="256"/>
      <c r="S26" s="249"/>
      <c r="T26" s="249"/>
      <c r="U26" s="249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</row>
    <row r="27" spans="1:36" ht="15.75" customHeight="1">
      <c r="A27" s="204">
        <v>29</v>
      </c>
      <c r="B27" s="97" t="s">
        <v>402</v>
      </c>
      <c r="C27" s="97" t="s">
        <v>403</v>
      </c>
      <c r="D27" s="267"/>
      <c r="E27" s="81" t="s">
        <v>17</v>
      </c>
      <c r="F27" s="252"/>
      <c r="G27" s="246"/>
      <c r="H27" s="246"/>
      <c r="I27" s="266"/>
      <c r="J27" s="266"/>
      <c r="K27" s="266"/>
      <c r="L27" s="266"/>
      <c r="M27" s="266"/>
      <c r="N27" s="247"/>
      <c r="O27" s="247"/>
      <c r="P27" s="256"/>
      <c r="Q27" s="256"/>
      <c r="R27" s="256"/>
      <c r="S27" s="249"/>
      <c r="T27" s="249"/>
      <c r="U27" s="249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</row>
    <row r="28" spans="1:36" ht="15.75" customHeight="1">
      <c r="A28" s="204">
        <v>30</v>
      </c>
      <c r="B28" s="44" t="s">
        <v>404</v>
      </c>
      <c r="C28" s="44" t="s">
        <v>405</v>
      </c>
      <c r="D28" s="81"/>
      <c r="E28" s="81" t="s">
        <v>17</v>
      </c>
      <c r="F28" s="252"/>
      <c r="G28" s="246"/>
      <c r="H28" s="246"/>
      <c r="I28" s="256"/>
      <c r="J28" s="256"/>
      <c r="K28" s="247"/>
      <c r="L28" s="256"/>
      <c r="M28" s="256"/>
      <c r="N28" s="247"/>
      <c r="O28" s="256"/>
      <c r="P28" s="247"/>
      <c r="Q28" s="256"/>
      <c r="R28" s="256"/>
      <c r="S28" s="249"/>
      <c r="T28" s="249"/>
      <c r="U28" s="249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</row>
    <row r="29" spans="1:36" ht="15.75" customHeight="1">
      <c r="A29" s="204">
        <v>31</v>
      </c>
      <c r="B29" s="45" t="s">
        <v>406</v>
      </c>
      <c r="C29" s="45" t="s">
        <v>407</v>
      </c>
      <c r="D29" s="268"/>
      <c r="E29" s="269" t="s">
        <v>7</v>
      </c>
      <c r="F29" s="252"/>
      <c r="G29" s="246"/>
      <c r="H29" s="246"/>
      <c r="I29" s="256"/>
      <c r="J29" s="256"/>
      <c r="K29" s="247"/>
      <c r="L29" s="256"/>
      <c r="M29" s="256"/>
      <c r="N29" s="247"/>
      <c r="O29" s="256"/>
      <c r="P29" s="247"/>
      <c r="Q29" s="256"/>
      <c r="R29" s="256"/>
      <c r="S29" s="249"/>
      <c r="T29" s="249"/>
      <c r="U29" s="249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</row>
    <row r="30" spans="1:36" ht="15.75" customHeight="1">
      <c r="A30" s="204">
        <v>32</v>
      </c>
      <c r="B30" s="45" t="s">
        <v>408</v>
      </c>
      <c r="C30" s="45" t="s">
        <v>409</v>
      </c>
      <c r="D30" s="260"/>
      <c r="E30" s="261" t="s">
        <v>17</v>
      </c>
      <c r="F30" s="205"/>
      <c r="G30" s="246"/>
      <c r="H30" s="246"/>
      <c r="I30" s="256"/>
      <c r="J30" s="256"/>
      <c r="K30" s="247"/>
      <c r="L30" s="256"/>
      <c r="M30" s="256"/>
      <c r="N30" s="247"/>
      <c r="O30" s="256"/>
      <c r="P30" s="247"/>
      <c r="Q30" s="256"/>
      <c r="R30" s="256"/>
      <c r="S30" s="249"/>
      <c r="T30" s="249"/>
      <c r="U30" s="249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</row>
    <row r="31" spans="1:36" ht="15.75" customHeight="1">
      <c r="A31" s="204">
        <v>37</v>
      </c>
      <c r="B31" s="270" t="s">
        <v>410</v>
      </c>
      <c r="C31" s="45" t="s">
        <v>411</v>
      </c>
      <c r="D31" s="258"/>
      <c r="E31" s="79" t="s">
        <v>7</v>
      </c>
      <c r="F31" s="252"/>
      <c r="G31" s="246"/>
      <c r="H31" s="246"/>
      <c r="I31" s="271"/>
      <c r="J31" s="271"/>
      <c r="K31" s="271"/>
      <c r="L31" s="271"/>
      <c r="M31" s="271"/>
      <c r="N31" s="271"/>
      <c r="O31" s="271"/>
      <c r="P31" s="271"/>
      <c r="Q31" s="256"/>
      <c r="R31" s="256"/>
      <c r="S31" s="249"/>
      <c r="T31" s="249"/>
      <c r="U31" s="249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</row>
    <row r="32" spans="1:36" ht="15.75" customHeight="1">
      <c r="A32" s="204">
        <v>39</v>
      </c>
      <c r="B32" s="45" t="s">
        <v>412</v>
      </c>
      <c r="C32" s="45" t="s">
        <v>413</v>
      </c>
      <c r="D32" s="251"/>
      <c r="E32" s="42" t="s">
        <v>7</v>
      </c>
      <c r="F32" s="205"/>
      <c r="G32" s="246"/>
      <c r="H32" s="246"/>
      <c r="I32" s="256"/>
      <c r="J32" s="256"/>
      <c r="K32" s="247"/>
      <c r="L32" s="256"/>
      <c r="M32" s="256"/>
      <c r="N32" s="247"/>
      <c r="O32" s="256"/>
      <c r="P32" s="256"/>
      <c r="Q32" s="247"/>
      <c r="R32" s="247"/>
      <c r="S32" s="249"/>
      <c r="T32" s="249"/>
      <c r="U32" s="249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</row>
    <row r="33" spans="1:36" ht="15.75" customHeight="1">
      <c r="A33" s="253">
        <v>41</v>
      </c>
      <c r="B33" s="44" t="s">
        <v>414</v>
      </c>
      <c r="C33" s="44" t="s">
        <v>415</v>
      </c>
      <c r="D33" s="259"/>
      <c r="E33" s="79" t="s">
        <v>17</v>
      </c>
      <c r="F33" s="205"/>
      <c r="G33" s="246"/>
      <c r="H33" s="246"/>
      <c r="I33" s="256"/>
      <c r="J33" s="256"/>
      <c r="K33" s="247"/>
      <c r="L33" s="256"/>
      <c r="M33" s="256"/>
      <c r="N33" s="247"/>
      <c r="O33" s="256"/>
      <c r="P33" s="256"/>
      <c r="Q33" s="247"/>
      <c r="R33" s="247"/>
      <c r="S33" s="249"/>
      <c r="T33" s="249"/>
      <c r="U33" s="249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</row>
    <row r="34" spans="1:36" ht="15.75" customHeight="1">
      <c r="A34" s="253">
        <v>42</v>
      </c>
      <c r="B34" s="44" t="s">
        <v>416</v>
      </c>
      <c r="C34" s="45" t="s">
        <v>417</v>
      </c>
      <c r="D34" s="78"/>
      <c r="E34" s="207" t="s">
        <v>7</v>
      </c>
      <c r="F34" s="205"/>
      <c r="G34" s="246"/>
      <c r="H34" s="246"/>
      <c r="I34" s="256"/>
      <c r="J34" s="256"/>
      <c r="K34" s="247"/>
      <c r="L34" s="256"/>
      <c r="M34" s="256"/>
      <c r="N34" s="247"/>
      <c r="O34" s="256"/>
      <c r="P34" s="256"/>
      <c r="Q34" s="247"/>
      <c r="R34" s="247"/>
      <c r="S34" s="249"/>
      <c r="T34" s="249"/>
      <c r="U34" s="249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</row>
    <row r="35" spans="1:36" ht="15.75" customHeight="1">
      <c r="A35" s="253">
        <v>43</v>
      </c>
      <c r="B35" s="45" t="s">
        <v>418</v>
      </c>
      <c r="C35" s="112" t="s">
        <v>419</v>
      </c>
      <c r="D35" s="168"/>
      <c r="E35" s="42" t="s">
        <v>7</v>
      </c>
      <c r="F35" s="205"/>
      <c r="G35" s="246"/>
      <c r="H35" s="246"/>
      <c r="I35" s="256"/>
      <c r="J35" s="256"/>
      <c r="K35" s="247"/>
      <c r="L35" s="256"/>
      <c r="M35" s="256"/>
      <c r="N35" s="247"/>
      <c r="O35" s="256"/>
      <c r="P35" s="256"/>
      <c r="Q35" s="247"/>
      <c r="R35" s="247"/>
      <c r="S35" s="249"/>
      <c r="T35" s="249"/>
      <c r="U35" s="249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</row>
    <row r="36" spans="1:36" ht="15.75" customHeight="1">
      <c r="A36" s="253">
        <v>44</v>
      </c>
      <c r="B36" s="97" t="s">
        <v>420</v>
      </c>
      <c r="C36" s="114" t="s">
        <v>421</v>
      </c>
      <c r="D36" s="272"/>
      <c r="E36" s="207" t="s">
        <v>17</v>
      </c>
      <c r="F36" s="205"/>
      <c r="G36" s="246"/>
      <c r="H36" s="246"/>
      <c r="I36" s="256"/>
      <c r="J36" s="256"/>
      <c r="K36" s="247"/>
      <c r="L36" s="256"/>
      <c r="M36" s="256"/>
      <c r="N36" s="247"/>
      <c r="O36" s="256"/>
      <c r="P36" s="256"/>
      <c r="Q36" s="247"/>
      <c r="R36" s="247"/>
      <c r="S36" s="249"/>
      <c r="T36" s="249"/>
      <c r="U36" s="249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</row>
    <row r="37" spans="1:36" ht="15.75" customHeight="1">
      <c r="A37" s="26">
        <v>45</v>
      </c>
      <c r="B37" s="273" t="s">
        <v>422</v>
      </c>
      <c r="C37" s="273" t="s">
        <v>423</v>
      </c>
      <c r="D37" s="27"/>
      <c r="E37" s="27" t="s">
        <v>17</v>
      </c>
      <c r="F37" s="26"/>
      <c r="G37" s="274"/>
      <c r="H37" s="274"/>
      <c r="I37" s="275"/>
      <c r="J37" s="275"/>
      <c r="K37" s="275"/>
      <c r="L37" s="276"/>
      <c r="M37" s="275"/>
      <c r="N37" s="276"/>
      <c r="O37" s="275"/>
      <c r="P37" s="275"/>
      <c r="Q37" s="275"/>
      <c r="R37" s="276"/>
      <c r="S37" s="180"/>
      <c r="T37" s="180"/>
      <c r="U37" s="180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</row>
    <row r="38" spans="1:36" ht="15.75" customHeight="1">
      <c r="A38" s="26">
        <v>46</v>
      </c>
      <c r="B38" s="45" t="s">
        <v>424</v>
      </c>
      <c r="C38" s="45" t="s">
        <v>425</v>
      </c>
      <c r="D38" s="27"/>
      <c r="E38" s="27" t="s">
        <v>7</v>
      </c>
      <c r="F38" s="26"/>
      <c r="G38" s="274"/>
      <c r="H38" s="274"/>
      <c r="I38" s="275"/>
      <c r="J38" s="275"/>
      <c r="K38" s="275"/>
      <c r="L38" s="276"/>
      <c r="M38" s="275"/>
      <c r="N38" s="276"/>
      <c r="O38" s="275"/>
      <c r="P38" s="275"/>
      <c r="Q38" s="275"/>
      <c r="R38" s="276"/>
      <c r="S38" s="180"/>
      <c r="T38" s="180"/>
      <c r="U38" s="180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</row>
    <row r="39" spans="1:36" ht="15.75" customHeight="1">
      <c r="A39" s="3"/>
      <c r="B39" s="135"/>
      <c r="C39" s="11"/>
      <c r="D39" s="50"/>
      <c r="E39" s="50"/>
      <c r="F39" s="3"/>
      <c r="G39" s="228"/>
      <c r="H39" s="228"/>
      <c r="I39" s="239"/>
      <c r="J39" s="239"/>
      <c r="K39" s="239"/>
      <c r="L39" s="240"/>
      <c r="M39" s="239"/>
      <c r="N39" s="240"/>
      <c r="O39" s="239"/>
      <c r="P39" s="239"/>
      <c r="Q39" s="239"/>
      <c r="R39" s="240"/>
      <c r="S39" s="46"/>
      <c r="T39" s="46"/>
      <c r="U39" s="46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15" customHeight="1">
      <c r="A40" s="3"/>
      <c r="C40" s="140" t="s">
        <v>177</v>
      </c>
      <c r="D40" s="140" t="s">
        <v>35</v>
      </c>
      <c r="E40" s="50"/>
      <c r="F40" s="3"/>
      <c r="G40" s="228"/>
      <c r="H40" s="228"/>
      <c r="I40" s="239"/>
      <c r="J40" s="239"/>
      <c r="K40" s="240"/>
      <c r="L40" s="239"/>
      <c r="M40" s="239"/>
      <c r="N40" s="240"/>
      <c r="O40" s="239"/>
      <c r="P40" s="240"/>
      <c r="Q40" s="239"/>
      <c r="R40" s="239"/>
      <c r="S40" s="46"/>
      <c r="T40" s="46"/>
      <c r="U40" s="46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15" customHeight="1">
      <c r="A41" s="3"/>
      <c r="B41" s="50" t="s">
        <v>36</v>
      </c>
      <c r="C41" s="11">
        <v>5</v>
      </c>
      <c r="D41" s="27" t="s">
        <v>36</v>
      </c>
      <c r="E41" s="27">
        <f>COUNTIF(E2:E32, "C")</f>
        <v>5</v>
      </c>
      <c r="F41" s="3"/>
      <c r="G41" s="228"/>
      <c r="H41" s="228"/>
      <c r="I41" s="239"/>
      <c r="J41" s="239"/>
      <c r="K41" s="240"/>
      <c r="L41" s="239"/>
      <c r="M41" s="239"/>
      <c r="N41" s="240"/>
      <c r="O41" s="239"/>
      <c r="P41" s="240"/>
      <c r="Q41" s="239"/>
      <c r="R41" s="239"/>
      <c r="S41" s="46"/>
      <c r="T41" s="46"/>
      <c r="U41" s="46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15.75" customHeight="1">
      <c r="A42" s="198"/>
      <c r="B42" s="50" t="s">
        <v>37</v>
      </c>
      <c r="C42" s="50">
        <v>16</v>
      </c>
      <c r="D42" s="27" t="s">
        <v>37</v>
      </c>
      <c r="E42" s="27">
        <f>COUNTIF(E2:E38, "H")</f>
        <v>14</v>
      </c>
      <c r="F42" s="3"/>
      <c r="G42" s="228"/>
      <c r="H42" s="228"/>
      <c r="I42" s="239"/>
      <c r="J42" s="239"/>
      <c r="K42" s="240"/>
      <c r="L42" s="239"/>
      <c r="M42" s="239"/>
      <c r="N42" s="240"/>
      <c r="O42" s="240"/>
      <c r="P42" s="240"/>
      <c r="Q42" s="240"/>
      <c r="R42" s="239"/>
      <c r="S42" s="46"/>
      <c r="T42" s="46"/>
      <c r="U42" s="46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15.75" customHeight="1">
      <c r="A43" s="198"/>
      <c r="B43" s="50" t="s">
        <v>38</v>
      </c>
      <c r="C43" s="50">
        <v>22</v>
      </c>
      <c r="D43" s="27" t="s">
        <v>38</v>
      </c>
      <c r="E43" s="27">
        <f>COUNTIF(E2:E38, "M")</f>
        <v>16</v>
      </c>
      <c r="F43" s="3"/>
      <c r="G43" s="228"/>
      <c r="H43" s="228"/>
      <c r="I43" s="239"/>
      <c r="J43" s="239"/>
      <c r="K43" s="240"/>
      <c r="L43" s="277"/>
      <c r="M43" s="277"/>
      <c r="N43" s="277"/>
      <c r="O43" s="277"/>
      <c r="P43" s="277"/>
      <c r="Q43" s="277"/>
      <c r="R43" s="277"/>
      <c r="S43" s="46"/>
      <c r="T43" s="46"/>
      <c r="U43" s="46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15.75" customHeight="1">
      <c r="A44" s="3"/>
      <c r="B44" s="50" t="s">
        <v>39</v>
      </c>
      <c r="C44" s="50">
        <v>2</v>
      </c>
      <c r="D44" s="27" t="s">
        <v>39</v>
      </c>
      <c r="E44" s="27">
        <f>COUNTIF(E2:E32, "Coord")</f>
        <v>2</v>
      </c>
      <c r="F44" s="3"/>
      <c r="G44" s="228"/>
      <c r="H44" s="228"/>
      <c r="I44" s="239"/>
      <c r="J44" s="240"/>
      <c r="K44" s="239"/>
      <c r="L44" s="239"/>
      <c r="M44" s="239"/>
      <c r="N44" s="240"/>
      <c r="O44" s="239"/>
      <c r="P44" s="239"/>
      <c r="Q44" s="240"/>
      <c r="R44" s="239"/>
      <c r="S44" s="46"/>
      <c r="T44" s="46"/>
      <c r="U44" s="46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15.75" customHeight="1">
      <c r="A45" s="3"/>
      <c r="B45" s="50" t="s">
        <v>40</v>
      </c>
      <c r="C45" s="50">
        <v>38</v>
      </c>
      <c r="D45" s="27" t="s">
        <v>40</v>
      </c>
      <c r="E45" s="27">
        <f>SUM(E41:E44)</f>
        <v>37</v>
      </c>
      <c r="F45" s="3"/>
      <c r="G45" s="228"/>
      <c r="H45" s="228"/>
      <c r="I45" s="239"/>
      <c r="J45" s="239"/>
      <c r="K45" s="240"/>
      <c r="L45" s="239"/>
      <c r="M45" s="240"/>
      <c r="N45" s="240"/>
      <c r="O45" s="240"/>
      <c r="P45" s="239"/>
      <c r="Q45" s="239"/>
      <c r="R45" s="240"/>
      <c r="S45" s="46"/>
      <c r="T45" s="46"/>
      <c r="U45" s="46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15.75" customHeight="1">
      <c r="A46" s="3"/>
      <c r="B46" s="50"/>
      <c r="C46" s="50"/>
      <c r="D46" s="50"/>
      <c r="E46" s="50"/>
      <c r="F46" s="3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ht="15.75" customHeight="1">
      <c r="A47" s="3"/>
      <c r="B47" s="50"/>
      <c r="C47" s="50"/>
      <c r="D47" s="50"/>
      <c r="E47" s="5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15.75" customHeight="1">
      <c r="A48" s="3"/>
      <c r="B48" s="50"/>
      <c r="C48" s="50"/>
      <c r="D48" s="50"/>
      <c r="E48" s="5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15.75" customHeight="1">
      <c r="A49" s="3"/>
      <c r="B49" s="50"/>
      <c r="C49" s="50"/>
      <c r="D49" s="50"/>
      <c r="E49" s="5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15.75" customHeight="1">
      <c r="A50" s="3"/>
      <c r="B50" s="50"/>
      <c r="C50" s="50"/>
      <c r="D50" s="50"/>
      <c r="E50" s="5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15.75" customHeight="1">
      <c r="A51" s="3"/>
      <c r="B51" s="50"/>
      <c r="C51" s="50"/>
      <c r="D51" s="50"/>
      <c r="E51" s="5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15.75" customHeight="1">
      <c r="A52" s="3"/>
      <c r="B52" s="50"/>
      <c r="C52" s="50"/>
      <c r="D52" s="50"/>
      <c r="E52" s="5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15.75" customHeight="1">
      <c r="A53" s="3"/>
      <c r="B53" s="50"/>
      <c r="C53" s="50"/>
      <c r="D53" s="50"/>
      <c r="E53" s="5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15.75" customHeight="1">
      <c r="A54" s="3"/>
      <c r="B54" s="50"/>
      <c r="C54" s="50"/>
      <c r="D54" s="50"/>
      <c r="E54" s="5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15.75" customHeight="1">
      <c r="A55" s="3"/>
      <c r="B55" s="50"/>
      <c r="C55" s="50"/>
      <c r="D55" s="50"/>
      <c r="E55" s="5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15.75" customHeight="1">
      <c r="A56" s="3"/>
      <c r="B56" s="50"/>
      <c r="C56" s="50"/>
      <c r="D56" s="50"/>
      <c r="E56" s="50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15.75" customHeight="1">
      <c r="A57" s="3"/>
      <c r="B57" s="50"/>
      <c r="C57" s="50"/>
      <c r="D57" s="50"/>
      <c r="E57" s="5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15.75" customHeight="1">
      <c r="A58" s="3"/>
      <c r="B58" s="50"/>
      <c r="C58" s="50"/>
      <c r="D58" s="50"/>
      <c r="E58" s="5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ht="15.75" customHeight="1">
      <c r="A59" s="3"/>
      <c r="B59" s="50"/>
      <c r="C59" s="50"/>
      <c r="D59" s="50"/>
      <c r="E59" s="5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15.75" customHeight="1">
      <c r="A60" s="3"/>
      <c r="B60" s="50"/>
      <c r="C60" s="50"/>
      <c r="D60" s="50"/>
      <c r="E60" s="5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ht="15.75" customHeight="1">
      <c r="A61" s="3"/>
      <c r="B61" s="50"/>
      <c r="C61" s="50"/>
      <c r="D61" s="50"/>
      <c r="E61" s="5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15.75" customHeight="1">
      <c r="A62" s="3"/>
      <c r="B62" s="50"/>
      <c r="C62" s="50"/>
      <c r="D62" s="50"/>
      <c r="E62" s="5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ht="15.75" customHeight="1">
      <c r="A63" s="3"/>
      <c r="B63" s="50"/>
      <c r="C63" s="50"/>
      <c r="D63" s="50"/>
      <c r="E63" s="5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15.75" customHeight="1">
      <c r="A64" s="3"/>
      <c r="B64" s="50"/>
      <c r="C64" s="50"/>
      <c r="D64" s="50"/>
      <c r="E64" s="5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ht="15.75" customHeight="1">
      <c r="A65" s="3"/>
      <c r="B65" s="50"/>
      <c r="C65" s="50"/>
      <c r="D65" s="50"/>
      <c r="E65" s="5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ht="15.75" customHeight="1">
      <c r="A66" s="3"/>
      <c r="B66" s="50"/>
      <c r="C66" s="50"/>
      <c r="D66" s="50"/>
      <c r="E66" s="5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15.75" customHeight="1">
      <c r="A67" s="3"/>
      <c r="B67" s="50"/>
      <c r="C67" s="50"/>
      <c r="D67" s="50"/>
      <c r="E67" s="5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15.75" customHeight="1">
      <c r="A68" s="3"/>
      <c r="B68" s="50"/>
      <c r="C68" s="50"/>
      <c r="D68" s="50"/>
      <c r="E68" s="5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15.75" customHeight="1">
      <c r="A69" s="3"/>
      <c r="B69" s="50"/>
      <c r="C69" s="50"/>
      <c r="D69" s="50"/>
      <c r="E69" s="5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15.75" customHeight="1">
      <c r="A70" s="3"/>
      <c r="B70" s="50"/>
      <c r="C70" s="50"/>
      <c r="D70" s="50"/>
      <c r="E70" s="5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15.75" customHeight="1">
      <c r="A71" s="3"/>
      <c r="B71" s="50"/>
      <c r="C71" s="50"/>
      <c r="D71" s="50"/>
      <c r="E71" s="5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ht="15.75" customHeight="1">
      <c r="A72" s="3"/>
      <c r="B72" s="50"/>
      <c r="C72" s="50"/>
      <c r="D72" s="50"/>
      <c r="E72" s="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ht="15.75" customHeight="1">
      <c r="A73" s="3"/>
      <c r="B73" s="50"/>
      <c r="C73" s="50"/>
      <c r="D73" s="50"/>
      <c r="E73" s="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ht="15.75" customHeight="1">
      <c r="A74" s="3"/>
      <c r="B74" s="50"/>
      <c r="C74" s="50"/>
      <c r="D74" s="50"/>
      <c r="E74" s="5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ht="15.75" customHeight="1">
      <c r="A75" s="3"/>
      <c r="B75" s="50"/>
      <c r="C75" s="50"/>
      <c r="D75" s="50"/>
      <c r="E75" s="5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ht="15.75" customHeight="1">
      <c r="A76" s="3"/>
      <c r="B76" s="50"/>
      <c r="C76" s="50"/>
      <c r="D76" s="50"/>
      <c r="E76" s="5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ht="15.75" customHeight="1">
      <c r="A77" s="3"/>
      <c r="B77" s="50"/>
      <c r="C77" s="50"/>
      <c r="D77" s="50"/>
      <c r="E77" s="5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ht="15.75" customHeight="1">
      <c r="A78" s="3"/>
      <c r="B78" s="50"/>
      <c r="C78" s="50"/>
      <c r="D78" s="50"/>
      <c r="E78" s="5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ht="15.75" customHeight="1">
      <c r="A79" s="3"/>
      <c r="B79" s="50"/>
      <c r="C79" s="50"/>
      <c r="D79" s="50"/>
      <c r="E79" s="5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ht="15.75" customHeight="1">
      <c r="A80" s="3"/>
      <c r="B80" s="50"/>
      <c r="C80" s="50"/>
      <c r="D80" s="50"/>
      <c r="E80" s="5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ht="15.75" customHeight="1">
      <c r="A81" s="3"/>
      <c r="B81" s="50"/>
      <c r="C81" s="50"/>
      <c r="D81" s="50"/>
      <c r="E81" s="5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ht="15.75" customHeight="1">
      <c r="A82" s="3"/>
      <c r="B82" s="50"/>
      <c r="C82" s="50"/>
      <c r="D82" s="50"/>
      <c r="E82" s="5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ht="15.75" customHeight="1">
      <c r="A83" s="3"/>
      <c r="B83" s="50"/>
      <c r="C83" s="50"/>
      <c r="D83" s="50"/>
      <c r="E83" s="5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ht="15.75" customHeight="1">
      <c r="A84" s="3"/>
      <c r="B84" s="50"/>
      <c r="C84" s="50"/>
      <c r="D84" s="50"/>
      <c r="E84" s="5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ht="15.75" customHeight="1">
      <c r="A85" s="3"/>
      <c r="B85" s="50"/>
      <c r="C85" s="50"/>
      <c r="D85" s="50"/>
      <c r="E85" s="5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ht="15.75" customHeight="1">
      <c r="A86" s="3"/>
      <c r="B86" s="50"/>
      <c r="C86" s="50"/>
      <c r="D86" s="50"/>
      <c r="E86" s="5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ht="15.75" customHeight="1">
      <c r="A87" s="3"/>
      <c r="B87" s="50"/>
      <c r="C87" s="50"/>
      <c r="D87" s="50"/>
      <c r="E87" s="5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ht="15.75" customHeight="1">
      <c r="A88" s="3"/>
      <c r="B88" s="50"/>
      <c r="C88" s="50"/>
      <c r="D88" s="50"/>
      <c r="E88" s="5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ht="15.75" customHeight="1">
      <c r="A89" s="3"/>
      <c r="B89" s="50"/>
      <c r="C89" s="50"/>
      <c r="D89" s="50"/>
      <c r="E89" s="5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ht="15.75" customHeight="1">
      <c r="A90" s="3"/>
      <c r="B90" s="50"/>
      <c r="C90" s="50"/>
      <c r="D90" s="50"/>
      <c r="E90" s="5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ht="15.75" customHeight="1">
      <c r="A91" s="3"/>
      <c r="B91" s="50"/>
      <c r="C91" s="50"/>
      <c r="D91" s="50"/>
      <c r="E91" s="5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ht="15.75" customHeight="1">
      <c r="A92" s="3"/>
      <c r="B92" s="50"/>
      <c r="C92" s="50"/>
      <c r="D92" s="50"/>
      <c r="E92" s="5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ht="15.75" customHeight="1">
      <c r="A93" s="3"/>
      <c r="B93" s="50"/>
      <c r="C93" s="50"/>
      <c r="D93" s="50"/>
      <c r="E93" s="5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ht="15.75" customHeight="1">
      <c r="A94" s="3"/>
      <c r="B94" s="50"/>
      <c r="C94" s="50"/>
      <c r="D94" s="50"/>
      <c r="E94" s="5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ht="15.75" customHeight="1">
      <c r="A95" s="3"/>
      <c r="B95" s="50"/>
      <c r="C95" s="50"/>
      <c r="D95" s="50"/>
      <c r="E95" s="5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ht="15.75" customHeight="1">
      <c r="A96" s="3"/>
      <c r="B96" s="50"/>
      <c r="C96" s="50"/>
      <c r="D96" s="50"/>
      <c r="E96" s="5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ht="15.75" customHeight="1">
      <c r="A97" s="3"/>
      <c r="B97" s="50"/>
      <c r="C97" s="50"/>
      <c r="D97" s="50"/>
      <c r="E97" s="5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ht="15.75" customHeight="1">
      <c r="A98" s="3"/>
      <c r="B98" s="50"/>
      <c r="C98" s="50"/>
      <c r="D98" s="50"/>
      <c r="E98" s="5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ht="15.75" customHeight="1">
      <c r="A99" s="3"/>
      <c r="B99" s="50"/>
      <c r="C99" s="50"/>
      <c r="D99" s="50"/>
      <c r="E99" s="5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ht="15.75" customHeight="1">
      <c r="A100" s="3"/>
      <c r="B100" s="50"/>
      <c r="C100" s="50"/>
      <c r="D100" s="50"/>
      <c r="E100" s="5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ht="15.75" customHeight="1">
      <c r="A101" s="3"/>
      <c r="B101" s="50"/>
      <c r="C101" s="50"/>
      <c r="D101" s="50"/>
      <c r="E101" s="5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ht="15.75" customHeight="1">
      <c r="A102" s="3"/>
      <c r="B102" s="50"/>
      <c r="C102" s="50"/>
      <c r="D102" s="50"/>
      <c r="E102" s="5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ht="15.75" customHeight="1">
      <c r="A103" s="3"/>
      <c r="B103" s="50"/>
      <c r="C103" s="50"/>
      <c r="D103" s="50"/>
      <c r="E103" s="5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ht="15.75" customHeight="1">
      <c r="A104" s="3"/>
      <c r="B104" s="50"/>
      <c r="C104" s="50"/>
      <c r="D104" s="50"/>
      <c r="E104" s="5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ht="15.75" customHeight="1">
      <c r="A105" s="3"/>
      <c r="B105" s="50"/>
      <c r="C105" s="50"/>
      <c r="D105" s="50"/>
      <c r="E105" s="5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ht="15.75" customHeight="1">
      <c r="A106" s="3"/>
      <c r="B106" s="50"/>
      <c r="C106" s="50"/>
      <c r="D106" s="50"/>
      <c r="E106" s="5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ht="15.75" customHeight="1">
      <c r="A107" s="3"/>
      <c r="B107" s="50"/>
      <c r="C107" s="50"/>
      <c r="D107" s="50"/>
      <c r="E107" s="5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ht="15.75" customHeight="1">
      <c r="A108" s="3"/>
      <c r="B108" s="50"/>
      <c r="C108" s="50"/>
      <c r="D108" s="50"/>
      <c r="E108" s="5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ht="15.75" customHeight="1">
      <c r="A109" s="3"/>
      <c r="B109" s="50"/>
      <c r="C109" s="50"/>
      <c r="D109" s="50"/>
      <c r="E109" s="5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ht="15.75" customHeight="1">
      <c r="A110" s="3"/>
      <c r="B110" s="50"/>
      <c r="C110" s="50"/>
      <c r="D110" s="50"/>
      <c r="E110" s="5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ht="15.75" customHeight="1">
      <c r="A111" s="3"/>
      <c r="B111" s="50"/>
      <c r="C111" s="50"/>
      <c r="D111" s="50"/>
      <c r="E111" s="5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ht="15.75" customHeight="1">
      <c r="A112" s="3"/>
      <c r="B112" s="50"/>
      <c r="C112" s="50"/>
      <c r="D112" s="50"/>
      <c r="E112" s="5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ht="15.75" customHeight="1">
      <c r="A113" s="3"/>
      <c r="B113" s="50"/>
      <c r="C113" s="50"/>
      <c r="D113" s="50"/>
      <c r="E113" s="5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ht="15.75" customHeight="1">
      <c r="A114" s="3"/>
      <c r="B114" s="50"/>
      <c r="C114" s="50"/>
      <c r="D114" s="50"/>
      <c r="E114" s="5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ht="15.75" customHeight="1">
      <c r="A115" s="3"/>
      <c r="B115" s="50"/>
      <c r="C115" s="50"/>
      <c r="D115" s="50"/>
      <c r="E115" s="5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ht="15.75" customHeight="1">
      <c r="A116" s="3"/>
      <c r="B116" s="50"/>
      <c r="C116" s="50"/>
      <c r="D116" s="50"/>
      <c r="E116" s="5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ht="15.75" customHeight="1">
      <c r="A117" s="3"/>
      <c r="B117" s="50"/>
      <c r="C117" s="50"/>
      <c r="D117" s="50"/>
      <c r="E117" s="5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ht="15.75" customHeight="1">
      <c r="A118" s="3"/>
      <c r="B118" s="50"/>
      <c r="C118" s="50"/>
      <c r="D118" s="50"/>
      <c r="E118" s="5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ht="15.75" customHeight="1">
      <c r="A119" s="3"/>
      <c r="B119" s="50"/>
      <c r="C119" s="50"/>
      <c r="D119" s="50"/>
      <c r="E119" s="5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ht="15.75" customHeight="1">
      <c r="A120" s="3"/>
      <c r="B120" s="50"/>
      <c r="C120" s="50"/>
      <c r="D120" s="50"/>
      <c r="E120" s="5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ht="15.75" customHeight="1">
      <c r="A121" s="3"/>
      <c r="B121" s="50"/>
      <c r="C121" s="50"/>
      <c r="D121" s="50"/>
      <c r="E121" s="5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ht="15.75" customHeight="1">
      <c r="A122" s="3"/>
      <c r="B122" s="50"/>
      <c r="C122" s="50"/>
      <c r="D122" s="50"/>
      <c r="E122" s="5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ht="15.75" customHeight="1">
      <c r="A123" s="3"/>
      <c r="B123" s="50"/>
      <c r="C123" s="50"/>
      <c r="D123" s="50"/>
      <c r="E123" s="5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ht="15.75" customHeight="1">
      <c r="A124" s="3"/>
      <c r="B124" s="50"/>
      <c r="C124" s="50"/>
      <c r="D124" s="50"/>
      <c r="E124" s="5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ht="15.75" customHeight="1">
      <c r="A125" s="3"/>
      <c r="B125" s="50"/>
      <c r="C125" s="50"/>
      <c r="D125" s="50"/>
      <c r="E125" s="5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ht="15.75" customHeight="1">
      <c r="A126" s="3"/>
      <c r="B126" s="50"/>
      <c r="C126" s="50"/>
      <c r="D126" s="50"/>
      <c r="E126" s="5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ht="15.75" customHeight="1">
      <c r="A127" s="3"/>
      <c r="B127" s="50"/>
      <c r="C127" s="50"/>
      <c r="D127" s="50"/>
      <c r="E127" s="5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ht="15.75" customHeight="1">
      <c r="A128" s="3"/>
      <c r="B128" s="50"/>
      <c r="C128" s="50"/>
      <c r="D128" s="50"/>
      <c r="E128" s="5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ht="15.75" customHeight="1">
      <c r="A129" s="3"/>
      <c r="B129" s="50"/>
      <c r="C129" s="50"/>
      <c r="D129" s="50"/>
      <c r="E129" s="5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ht="15.75" customHeight="1">
      <c r="A130" s="3"/>
      <c r="B130" s="50"/>
      <c r="C130" s="50"/>
      <c r="D130" s="50"/>
      <c r="E130" s="5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ht="15.75" customHeight="1">
      <c r="A131" s="3"/>
      <c r="B131" s="50"/>
      <c r="C131" s="50"/>
      <c r="D131" s="50"/>
      <c r="E131" s="5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ht="15.75" customHeight="1">
      <c r="A132" s="3"/>
      <c r="B132" s="50"/>
      <c r="C132" s="50"/>
      <c r="D132" s="50"/>
      <c r="E132" s="5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ht="15.75" customHeight="1">
      <c r="A133" s="3"/>
      <c r="B133" s="50"/>
      <c r="C133" s="50"/>
      <c r="D133" s="50"/>
      <c r="E133" s="5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ht="15.75" customHeight="1">
      <c r="A134" s="3"/>
      <c r="B134" s="50"/>
      <c r="C134" s="50"/>
      <c r="D134" s="50"/>
      <c r="E134" s="5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ht="15.75" customHeight="1">
      <c r="A135" s="3"/>
      <c r="B135" s="50"/>
      <c r="C135" s="50"/>
      <c r="D135" s="50"/>
      <c r="E135" s="5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ht="15.75" customHeight="1">
      <c r="A136" s="3"/>
      <c r="B136" s="50"/>
      <c r="C136" s="50"/>
      <c r="D136" s="50"/>
      <c r="E136" s="5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ht="15.75" customHeight="1">
      <c r="A137" s="3"/>
      <c r="B137" s="50"/>
      <c r="C137" s="50"/>
      <c r="D137" s="50"/>
      <c r="E137" s="5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ht="15.75" customHeight="1">
      <c r="A138" s="3"/>
      <c r="B138" s="50"/>
      <c r="C138" s="50"/>
      <c r="D138" s="50"/>
      <c r="E138" s="5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ht="15.75" customHeight="1">
      <c r="A139" s="3"/>
      <c r="B139" s="50"/>
      <c r="C139" s="50"/>
      <c r="D139" s="50"/>
      <c r="E139" s="5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ht="15.75" customHeight="1">
      <c r="A140" s="3"/>
      <c r="B140" s="50"/>
      <c r="C140" s="50"/>
      <c r="D140" s="50"/>
      <c r="E140" s="5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ht="15.75" customHeight="1">
      <c r="A141" s="3"/>
      <c r="B141" s="50"/>
      <c r="C141" s="50"/>
      <c r="D141" s="50"/>
      <c r="E141" s="5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ht="15.75" customHeight="1">
      <c r="A142" s="3"/>
      <c r="B142" s="50"/>
      <c r="C142" s="50"/>
      <c r="D142" s="50"/>
      <c r="E142" s="5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ht="15.75" customHeight="1">
      <c r="A143" s="3"/>
      <c r="B143" s="50"/>
      <c r="C143" s="50"/>
      <c r="D143" s="50"/>
      <c r="E143" s="5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ht="15.75" customHeight="1">
      <c r="A144" s="3"/>
      <c r="B144" s="50"/>
      <c r="C144" s="50"/>
      <c r="D144" s="50"/>
      <c r="E144" s="5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ht="15.75" customHeight="1">
      <c r="A145" s="3"/>
      <c r="B145" s="50"/>
      <c r="C145" s="50"/>
      <c r="D145" s="50"/>
      <c r="E145" s="5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ht="15.75" customHeight="1">
      <c r="A146" s="3"/>
      <c r="B146" s="50"/>
      <c r="C146" s="50"/>
      <c r="D146" s="50"/>
      <c r="E146" s="5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ht="15.75" customHeight="1">
      <c r="A147" s="3"/>
      <c r="B147" s="50"/>
      <c r="C147" s="50"/>
      <c r="D147" s="50"/>
      <c r="E147" s="5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ht="15.75" customHeight="1">
      <c r="A148" s="3"/>
      <c r="B148" s="50"/>
      <c r="C148" s="50"/>
      <c r="D148" s="50"/>
      <c r="E148" s="5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ht="15.75" customHeight="1">
      <c r="A149" s="3"/>
      <c r="B149" s="50"/>
      <c r="C149" s="50"/>
      <c r="D149" s="50"/>
      <c r="E149" s="5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ht="15.75" customHeight="1">
      <c r="A150" s="3"/>
      <c r="B150" s="50"/>
      <c r="C150" s="50"/>
      <c r="D150" s="50"/>
      <c r="E150" s="5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ht="15.75" customHeight="1">
      <c r="A151" s="3"/>
      <c r="B151" s="50"/>
      <c r="C151" s="50"/>
      <c r="D151" s="50"/>
      <c r="E151" s="5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ht="15.75" customHeight="1">
      <c r="A152" s="3"/>
      <c r="B152" s="50"/>
      <c r="C152" s="50"/>
      <c r="D152" s="50"/>
      <c r="E152" s="5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ht="15.75" customHeight="1">
      <c r="A153" s="3"/>
      <c r="B153" s="50"/>
      <c r="C153" s="50"/>
      <c r="D153" s="50"/>
      <c r="E153" s="5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ht="15.75" customHeight="1">
      <c r="A154" s="3"/>
      <c r="B154" s="50"/>
      <c r="C154" s="50"/>
      <c r="D154" s="50"/>
      <c r="E154" s="5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ht="15.75" customHeight="1">
      <c r="A155" s="3"/>
      <c r="B155" s="50"/>
      <c r="C155" s="50"/>
      <c r="D155" s="50"/>
      <c r="E155" s="5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1:36" ht="15.75" customHeight="1">
      <c r="A156" s="3"/>
      <c r="B156" s="50"/>
      <c r="C156" s="50"/>
      <c r="D156" s="50"/>
      <c r="E156" s="5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1:36" ht="15.75" customHeight="1">
      <c r="A157" s="3"/>
      <c r="B157" s="50"/>
      <c r="C157" s="50"/>
      <c r="D157" s="50"/>
      <c r="E157" s="5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spans="1:36" ht="15.75" customHeight="1">
      <c r="A158" s="3"/>
      <c r="B158" s="50"/>
      <c r="C158" s="50"/>
      <c r="D158" s="50"/>
      <c r="E158" s="5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1:36" ht="15.75" customHeight="1">
      <c r="A159" s="3"/>
      <c r="B159" s="50"/>
      <c r="C159" s="50"/>
      <c r="D159" s="50"/>
      <c r="E159" s="5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spans="1:36" ht="15.75" customHeight="1">
      <c r="A160" s="3"/>
      <c r="B160" s="50"/>
      <c r="C160" s="50"/>
      <c r="D160" s="50"/>
      <c r="E160" s="5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1:36" ht="15.75" customHeight="1">
      <c r="A161" s="3"/>
      <c r="B161" s="50"/>
      <c r="C161" s="50"/>
      <c r="D161" s="50"/>
      <c r="E161" s="5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spans="1:36" ht="15.75" customHeight="1">
      <c r="A162" s="3"/>
      <c r="B162" s="50"/>
      <c r="C162" s="50"/>
      <c r="D162" s="50"/>
      <c r="E162" s="5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1:36" ht="15.75" customHeight="1">
      <c r="A163" s="3"/>
      <c r="B163" s="50"/>
      <c r="C163" s="50"/>
      <c r="D163" s="50"/>
      <c r="E163" s="5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spans="1:36" ht="15.75" customHeight="1">
      <c r="A164" s="3"/>
      <c r="B164" s="50"/>
      <c r="C164" s="50"/>
      <c r="D164" s="50"/>
      <c r="E164" s="5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1:36" ht="15.75" customHeight="1">
      <c r="A165" s="3"/>
      <c r="B165" s="50"/>
      <c r="C165" s="50"/>
      <c r="D165" s="50"/>
      <c r="E165" s="5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spans="1:36" ht="15.75" customHeight="1">
      <c r="A166" s="3"/>
      <c r="B166" s="50"/>
      <c r="C166" s="50"/>
      <c r="D166" s="50"/>
      <c r="E166" s="5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1:36" ht="15.75" customHeight="1">
      <c r="A167" s="3"/>
      <c r="B167" s="50"/>
      <c r="C167" s="50"/>
      <c r="D167" s="50"/>
      <c r="E167" s="5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spans="1:36" ht="15.75" customHeight="1">
      <c r="A168" s="3"/>
      <c r="B168" s="50"/>
      <c r="C168" s="50"/>
      <c r="D168" s="50"/>
      <c r="E168" s="5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1:36" ht="15.75" customHeight="1">
      <c r="A169" s="3"/>
      <c r="B169" s="50"/>
      <c r="C169" s="50"/>
      <c r="D169" s="50"/>
      <c r="E169" s="5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spans="1:36" ht="15.75" customHeight="1">
      <c r="A170" s="3"/>
      <c r="B170" s="50"/>
      <c r="C170" s="50"/>
      <c r="D170" s="50"/>
      <c r="E170" s="5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1:36" ht="15.75" customHeight="1">
      <c r="A171" s="3"/>
      <c r="B171" s="50"/>
      <c r="C171" s="50"/>
      <c r="D171" s="50"/>
      <c r="E171" s="5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spans="1:36" ht="15.75" customHeight="1">
      <c r="A172" s="3"/>
      <c r="B172" s="50"/>
      <c r="C172" s="50"/>
      <c r="D172" s="50"/>
      <c r="E172" s="5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1:36" ht="15.75" customHeight="1">
      <c r="A173" s="3"/>
      <c r="B173" s="50"/>
      <c r="C173" s="50"/>
      <c r="D173" s="50"/>
      <c r="E173" s="5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spans="1:36" ht="15.75" customHeight="1">
      <c r="A174" s="3"/>
      <c r="B174" s="50"/>
      <c r="C174" s="50"/>
      <c r="D174" s="50"/>
      <c r="E174" s="5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1:36" ht="15.75" customHeight="1">
      <c r="A175" s="3"/>
      <c r="B175" s="50"/>
      <c r="C175" s="50"/>
      <c r="D175" s="50"/>
      <c r="E175" s="5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spans="1:36" ht="15.75" customHeight="1">
      <c r="A176" s="3"/>
      <c r="B176" s="50"/>
      <c r="C176" s="50"/>
      <c r="D176" s="50"/>
      <c r="E176" s="5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1:36" ht="15.75" customHeight="1">
      <c r="A177" s="3"/>
      <c r="B177" s="50"/>
      <c r="C177" s="50"/>
      <c r="D177" s="50"/>
      <c r="E177" s="5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spans="1:36" ht="15.75" customHeight="1">
      <c r="A178" s="3"/>
      <c r="B178" s="50"/>
      <c r="C178" s="50"/>
      <c r="D178" s="50"/>
      <c r="E178" s="5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1:36" ht="15.75" customHeight="1">
      <c r="A179" s="3"/>
      <c r="B179" s="50"/>
      <c r="C179" s="50"/>
      <c r="D179" s="50"/>
      <c r="E179" s="5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1:36" ht="15.75" customHeight="1">
      <c r="A180" s="3"/>
      <c r="B180" s="50"/>
      <c r="C180" s="50"/>
      <c r="D180" s="50"/>
      <c r="E180" s="5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1:36" ht="15.75" customHeight="1">
      <c r="A181" s="3"/>
      <c r="B181" s="50"/>
      <c r="C181" s="50"/>
      <c r="D181" s="50"/>
      <c r="E181" s="5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spans="1:36" ht="15.75" customHeight="1">
      <c r="A182" s="3"/>
      <c r="B182" s="50"/>
      <c r="C182" s="50"/>
      <c r="D182" s="50"/>
      <c r="E182" s="5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1:36" ht="15.75" customHeight="1">
      <c r="A183" s="3"/>
      <c r="B183" s="50"/>
      <c r="C183" s="50"/>
      <c r="D183" s="50"/>
      <c r="E183" s="5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1:36" ht="15.75" customHeight="1">
      <c r="A184" s="3"/>
      <c r="B184" s="50"/>
      <c r="C184" s="50"/>
      <c r="D184" s="50"/>
      <c r="E184" s="5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1:36" ht="15.75" customHeight="1">
      <c r="A185" s="3"/>
      <c r="B185" s="50"/>
      <c r="C185" s="50"/>
      <c r="D185" s="50"/>
      <c r="E185" s="5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1:36" ht="15.75" customHeight="1">
      <c r="A186" s="3"/>
      <c r="B186" s="50"/>
      <c r="C186" s="50"/>
      <c r="D186" s="50"/>
      <c r="E186" s="5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1:36" ht="15.75" customHeight="1">
      <c r="A187" s="3"/>
      <c r="B187" s="50"/>
      <c r="C187" s="50"/>
      <c r="D187" s="50"/>
      <c r="E187" s="5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1:36" ht="15.75" customHeight="1">
      <c r="A188" s="3"/>
      <c r="B188" s="50"/>
      <c r="C188" s="50"/>
      <c r="D188" s="50"/>
      <c r="E188" s="5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1:36" ht="15.75" customHeight="1">
      <c r="A189" s="3"/>
      <c r="B189" s="50"/>
      <c r="C189" s="50"/>
      <c r="D189" s="50"/>
      <c r="E189" s="5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spans="1:36" ht="15.75" customHeight="1">
      <c r="A190" s="3"/>
      <c r="B190" s="50"/>
      <c r="C190" s="50"/>
      <c r="D190" s="50"/>
      <c r="E190" s="5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1:36" ht="15.75" customHeight="1">
      <c r="A191" s="3"/>
      <c r="B191" s="50"/>
      <c r="C191" s="50"/>
      <c r="D191" s="50"/>
      <c r="E191" s="5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spans="1:36" ht="15.75" customHeight="1">
      <c r="A192" s="3"/>
      <c r="B192" s="50"/>
      <c r="C192" s="50"/>
      <c r="D192" s="50"/>
      <c r="E192" s="5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1:36" ht="15.75" customHeight="1">
      <c r="A193" s="3"/>
      <c r="B193" s="50"/>
      <c r="C193" s="50"/>
      <c r="D193" s="50"/>
      <c r="E193" s="5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spans="1:36" ht="15.75" customHeight="1">
      <c r="A194" s="3"/>
      <c r="B194" s="50"/>
      <c r="C194" s="50"/>
      <c r="D194" s="50"/>
      <c r="E194" s="5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1:36" ht="15.75" customHeight="1">
      <c r="A195" s="3"/>
      <c r="B195" s="50"/>
      <c r="C195" s="50"/>
      <c r="D195" s="50"/>
      <c r="E195" s="5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spans="1:36" ht="15.75" customHeight="1">
      <c r="A196" s="3"/>
      <c r="B196" s="50"/>
      <c r="C196" s="50"/>
      <c r="D196" s="50"/>
      <c r="E196" s="5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1:36" ht="15.75" customHeight="1">
      <c r="A197" s="3"/>
      <c r="B197" s="50"/>
      <c r="C197" s="50"/>
      <c r="D197" s="50"/>
      <c r="E197" s="5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spans="1:36" ht="15.75" customHeight="1">
      <c r="A198" s="3"/>
      <c r="B198" s="50"/>
      <c r="C198" s="50"/>
      <c r="D198" s="50"/>
      <c r="E198" s="5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1:36" ht="15.75" customHeight="1">
      <c r="A199" s="3"/>
      <c r="B199" s="50"/>
      <c r="C199" s="50"/>
      <c r="D199" s="50"/>
      <c r="E199" s="5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spans="1:36" ht="15.75" customHeight="1">
      <c r="A200" s="3"/>
      <c r="B200" s="50"/>
      <c r="C200" s="50"/>
      <c r="D200" s="50"/>
      <c r="E200" s="5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1:36" ht="15.75" customHeight="1">
      <c r="A201" s="3"/>
      <c r="B201" s="50"/>
      <c r="C201" s="50"/>
      <c r="D201" s="50"/>
      <c r="E201" s="5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spans="1:36" ht="15.75" customHeight="1">
      <c r="A202" s="3"/>
      <c r="B202" s="50"/>
      <c r="C202" s="50"/>
      <c r="D202" s="50"/>
      <c r="E202" s="5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1:36" ht="15.75" customHeight="1">
      <c r="A203" s="3"/>
      <c r="B203" s="50"/>
      <c r="C203" s="50"/>
      <c r="D203" s="50"/>
      <c r="E203" s="5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spans="1:36" ht="15.75" customHeight="1">
      <c r="A204" s="3"/>
      <c r="B204" s="50"/>
      <c r="C204" s="50"/>
      <c r="D204" s="50"/>
      <c r="E204" s="5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1:36" ht="15.75" customHeight="1">
      <c r="A205" s="3"/>
      <c r="B205" s="50"/>
      <c r="C205" s="50"/>
      <c r="D205" s="50"/>
      <c r="E205" s="5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spans="1:36" ht="15.75" customHeight="1">
      <c r="A206" s="3"/>
      <c r="B206" s="50"/>
      <c r="C206" s="50"/>
      <c r="D206" s="50"/>
      <c r="E206" s="5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spans="1:36" ht="15.75" customHeight="1">
      <c r="A207" s="3"/>
      <c r="B207" s="50"/>
      <c r="C207" s="50"/>
      <c r="D207" s="50"/>
      <c r="E207" s="5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spans="1:36" ht="15.75" customHeight="1">
      <c r="A208" s="3"/>
      <c r="B208" s="50"/>
      <c r="C208" s="50"/>
      <c r="D208" s="50"/>
      <c r="E208" s="5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spans="1:36" ht="15.75" customHeight="1">
      <c r="A209" s="3"/>
      <c r="B209" s="50"/>
      <c r="C209" s="50"/>
      <c r="D209" s="50"/>
      <c r="E209" s="5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spans="1:36" ht="15.75" customHeight="1">
      <c r="A210" s="3"/>
      <c r="B210" s="50"/>
      <c r="C210" s="50"/>
      <c r="D210" s="50"/>
      <c r="E210" s="5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1:36" ht="15.75" customHeight="1">
      <c r="A211" s="3"/>
      <c r="B211" s="50"/>
      <c r="C211" s="50"/>
      <c r="D211" s="50"/>
      <c r="E211" s="5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spans="1:36" ht="15.75" customHeight="1">
      <c r="A212" s="3"/>
      <c r="B212" s="50"/>
      <c r="C212" s="50"/>
      <c r="D212" s="50"/>
      <c r="E212" s="5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1:36" ht="15.75" customHeight="1">
      <c r="A213" s="3"/>
      <c r="B213" s="50"/>
      <c r="C213" s="50"/>
      <c r="D213" s="50"/>
      <c r="E213" s="5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1:36" ht="15.75" customHeight="1">
      <c r="A214" s="3"/>
      <c r="B214" s="50"/>
      <c r="C214" s="50"/>
      <c r="D214" s="50"/>
      <c r="E214" s="5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1:36" ht="15.75" customHeight="1">
      <c r="A215" s="3"/>
      <c r="B215" s="50"/>
      <c r="C215" s="50"/>
      <c r="D215" s="50"/>
      <c r="E215" s="5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spans="1:36" ht="15.75" customHeight="1">
      <c r="A216" s="3"/>
      <c r="B216" s="50"/>
      <c r="C216" s="50"/>
      <c r="D216" s="50"/>
      <c r="E216" s="5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1:36" ht="15.75" customHeight="1">
      <c r="A217" s="3"/>
      <c r="B217" s="50"/>
      <c r="C217" s="50"/>
      <c r="D217" s="50"/>
      <c r="E217" s="5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1:36" ht="15.75" customHeight="1">
      <c r="A218" s="3"/>
      <c r="B218" s="50"/>
      <c r="C218" s="50"/>
      <c r="D218" s="50"/>
      <c r="E218" s="5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1:36" ht="15.75" customHeight="1">
      <c r="A219" s="3"/>
      <c r="B219" s="50"/>
      <c r="C219" s="50"/>
      <c r="D219" s="50"/>
      <c r="E219" s="5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1:36" ht="15.75" customHeight="1">
      <c r="A220" s="3"/>
      <c r="B220" s="50"/>
      <c r="C220" s="50"/>
      <c r="D220" s="50"/>
      <c r="E220" s="5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1:36" ht="15.75" customHeight="1">
      <c r="A221" s="3"/>
      <c r="B221" s="50"/>
      <c r="C221" s="50"/>
      <c r="D221" s="50"/>
      <c r="E221" s="5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1:36" ht="15.75" customHeight="1">
      <c r="A222" s="3"/>
      <c r="B222" s="50"/>
      <c r="C222" s="50"/>
      <c r="D222" s="50"/>
      <c r="E222" s="5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1:36" ht="15.75" customHeight="1">
      <c r="A223" s="3"/>
      <c r="B223" s="50"/>
      <c r="C223" s="50"/>
      <c r="D223" s="50"/>
      <c r="E223" s="5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spans="1:36" ht="15.75" customHeight="1">
      <c r="A224" s="3"/>
      <c r="B224" s="50"/>
      <c r="C224" s="50"/>
      <c r="D224" s="50"/>
      <c r="E224" s="5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1:36" ht="15.75" customHeight="1">
      <c r="A225" s="3"/>
      <c r="B225" s="50"/>
      <c r="C225" s="50"/>
      <c r="D225" s="50"/>
      <c r="E225" s="5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1:36" ht="15.75" customHeight="1">
      <c r="A226" s="3"/>
      <c r="B226" s="50"/>
      <c r="C226" s="50"/>
      <c r="D226" s="50"/>
      <c r="E226" s="5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1:36" ht="15.75" customHeight="1">
      <c r="A227" s="3"/>
      <c r="B227" s="50"/>
      <c r="C227" s="50"/>
      <c r="D227" s="50"/>
      <c r="E227" s="5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1:36" ht="15.75" customHeight="1">
      <c r="A228" s="3"/>
      <c r="B228" s="50"/>
      <c r="C228" s="50"/>
      <c r="D228" s="50"/>
      <c r="E228" s="5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1:36" ht="15.75" customHeight="1">
      <c r="A229" s="3"/>
      <c r="B229" s="50"/>
      <c r="C229" s="50"/>
      <c r="D229" s="50"/>
      <c r="E229" s="5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spans="1:36" ht="15.75" customHeight="1">
      <c r="A230" s="3"/>
      <c r="B230" s="50"/>
      <c r="C230" s="50"/>
      <c r="D230" s="50"/>
      <c r="E230" s="5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1:36" ht="15.75" customHeight="1">
      <c r="A231" s="3"/>
      <c r="B231" s="50"/>
      <c r="C231" s="50"/>
      <c r="D231" s="50"/>
      <c r="E231" s="5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spans="1:36" ht="15.75" customHeight="1">
      <c r="A232" s="3"/>
      <c r="B232" s="50"/>
      <c r="C232" s="50"/>
      <c r="D232" s="50"/>
      <c r="E232" s="5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1:36" ht="15.75" customHeight="1">
      <c r="A233" s="3"/>
      <c r="B233" s="50"/>
      <c r="C233" s="50"/>
      <c r="D233" s="50"/>
      <c r="E233" s="5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spans="1:36" ht="15.75" customHeight="1">
      <c r="A234" s="3"/>
      <c r="B234" s="50"/>
      <c r="C234" s="50"/>
      <c r="D234" s="50"/>
      <c r="E234" s="5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1:36" ht="15.75" customHeight="1">
      <c r="A235" s="3"/>
      <c r="B235" s="50"/>
      <c r="C235" s="50"/>
      <c r="D235" s="50"/>
      <c r="E235" s="5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spans="1:36" ht="15.75" customHeight="1">
      <c r="A236" s="3"/>
      <c r="B236" s="50"/>
      <c r="C236" s="50"/>
      <c r="D236" s="50"/>
      <c r="E236" s="5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1:36" ht="15.75" customHeight="1">
      <c r="A237" s="3"/>
      <c r="B237" s="50"/>
      <c r="C237" s="50"/>
      <c r="D237" s="50"/>
      <c r="E237" s="5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spans="1:36" ht="15.75" customHeight="1">
      <c r="A238" s="3"/>
      <c r="B238" s="50"/>
      <c r="C238" s="50"/>
      <c r="D238" s="50"/>
      <c r="E238" s="5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1:36" ht="15.75" customHeight="1">
      <c r="A239" s="3"/>
      <c r="B239" s="50"/>
      <c r="C239" s="50"/>
      <c r="D239" s="50"/>
      <c r="E239" s="5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spans="1:36" ht="15.75" customHeight="1">
      <c r="A240" s="3"/>
      <c r="B240" s="50"/>
      <c r="C240" s="50"/>
      <c r="D240" s="50"/>
      <c r="E240" s="5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1:36" ht="15.75" customHeight="1">
      <c r="A241" s="3"/>
      <c r="B241" s="50"/>
      <c r="C241" s="50"/>
      <c r="D241" s="50"/>
      <c r="E241" s="5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spans="1:36" ht="15.75" customHeight="1">
      <c r="A242" s="3"/>
      <c r="B242" s="50"/>
      <c r="C242" s="50"/>
      <c r="D242" s="50"/>
      <c r="E242" s="5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1:36" ht="15.75" customHeight="1">
      <c r="A243" s="3"/>
      <c r="B243" s="50"/>
      <c r="C243" s="50"/>
      <c r="D243" s="50"/>
      <c r="E243" s="5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1:36" ht="15.75" customHeight="1">
      <c r="A244" s="3"/>
      <c r="B244" s="50"/>
      <c r="C244" s="50"/>
      <c r="D244" s="50"/>
      <c r="E244" s="5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1:36" ht="15.75" customHeight="1">
      <c r="A245" s="3"/>
      <c r="B245" s="50"/>
      <c r="C245" s="50"/>
      <c r="D245" s="50"/>
      <c r="E245" s="5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spans="1:36" ht="15.75" customHeight="1"/>
    <row r="247" spans="1:36" ht="15.75" customHeight="1"/>
    <row r="248" spans="1:36" ht="15.75" customHeight="1"/>
    <row r="249" spans="1:36" ht="15.75" customHeight="1"/>
    <row r="250" spans="1:36" ht="15.75" customHeight="1"/>
    <row r="251" spans="1:36" ht="15.75" customHeight="1"/>
    <row r="252" spans="1:36" ht="15.75" customHeight="1"/>
    <row r="253" spans="1:36" ht="15.75" customHeight="1"/>
    <row r="254" spans="1:36" ht="15.75" customHeight="1"/>
    <row r="255" spans="1:36" ht="15.75" customHeight="1"/>
    <row r="256" spans="1:3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ataValidations count="1">
    <dataValidation type="list" allowBlank="1" showErrorMessage="1" sqref="E2:E38">
      <formula1>"COORD,C,H,M"</formula1>
    </dataValidation>
  </dataValidations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  <outlinePr summaryBelow="0" summaryRight="0"/>
  </sheetPr>
  <dimension ref="A1:AJ894"/>
  <sheetViews>
    <sheetView topLeftCell="A10" workbookViewId="0">
      <selection activeCell="A44" sqref="A44:XFD44"/>
    </sheetView>
  </sheetViews>
  <sheetFormatPr defaultColWidth="14.453125" defaultRowHeight="15" customHeight="1"/>
  <cols>
    <col min="1" max="1" width="4.7265625" customWidth="1"/>
    <col min="2" max="2" width="77" customWidth="1"/>
    <col min="3" max="3" width="40.08984375" customWidth="1"/>
    <col min="4" max="4" width="35" customWidth="1"/>
    <col min="5" max="5" width="16.08984375" customWidth="1"/>
    <col min="6" max="6" width="23.453125" customWidth="1"/>
    <col min="7" max="7" width="2.81640625" customWidth="1"/>
    <col min="8" max="8" width="4.54296875" customWidth="1"/>
    <col min="9" max="9" width="33.7265625" customWidth="1"/>
    <col min="10" max="10" width="27.7265625" customWidth="1"/>
    <col min="11" max="11" width="22.7265625" customWidth="1"/>
    <col min="12" max="12" width="16.08984375" customWidth="1"/>
    <col min="13" max="13" width="41.81640625" customWidth="1"/>
    <col min="14" max="14" width="64.453125" customWidth="1"/>
  </cols>
  <sheetData>
    <row r="1" spans="1:36" ht="14.25" customHeight="1">
      <c r="A1" s="510" t="s">
        <v>426</v>
      </c>
      <c r="B1" s="511"/>
      <c r="C1" s="511"/>
      <c r="D1" s="511"/>
      <c r="E1" s="511"/>
      <c r="F1" s="511"/>
      <c r="G1" s="278"/>
      <c r="H1" s="512" t="s">
        <v>427</v>
      </c>
      <c r="I1" s="511"/>
      <c r="J1" s="511"/>
      <c r="K1" s="511"/>
      <c r="L1" s="511"/>
      <c r="M1" s="511"/>
      <c r="N1" s="279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</row>
    <row r="2" spans="1:36" ht="14.25" customHeight="1">
      <c r="A2" s="1" t="s">
        <v>0</v>
      </c>
      <c r="B2" s="1" t="s">
        <v>1</v>
      </c>
      <c r="C2" s="2" t="s">
        <v>2</v>
      </c>
      <c r="D2" s="1" t="s">
        <v>27</v>
      </c>
      <c r="E2" s="28"/>
      <c r="F2" s="280" t="s">
        <v>428</v>
      </c>
      <c r="G2" s="278"/>
      <c r="H2" s="1" t="s">
        <v>0</v>
      </c>
      <c r="I2" s="1" t="s">
        <v>1</v>
      </c>
      <c r="J2" s="2" t="s">
        <v>2</v>
      </c>
      <c r="K2" s="1" t="s">
        <v>27</v>
      </c>
      <c r="L2" s="1" t="s">
        <v>429</v>
      </c>
      <c r="M2" s="1" t="s">
        <v>428</v>
      </c>
      <c r="N2" s="279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</row>
    <row r="3" spans="1:36" ht="14.25" customHeight="1">
      <c r="A3" s="4">
        <v>1</v>
      </c>
      <c r="B3" s="20" t="s">
        <v>430</v>
      </c>
      <c r="C3" s="20" t="s">
        <v>431</v>
      </c>
      <c r="D3" s="281"/>
      <c r="E3" s="7" t="s">
        <v>30</v>
      </c>
      <c r="F3" s="7"/>
      <c r="G3" s="282"/>
      <c r="H3" s="283">
        <v>11</v>
      </c>
      <c r="I3" s="42"/>
      <c r="J3" s="42"/>
      <c r="K3" s="168"/>
      <c r="L3" s="42"/>
      <c r="M3" s="168"/>
      <c r="N3" s="284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</row>
    <row r="4" spans="1:36" ht="14.25" customHeight="1">
      <c r="A4" s="8">
        <v>2</v>
      </c>
      <c r="B4" s="285" t="s">
        <v>432</v>
      </c>
      <c r="C4" s="5" t="s">
        <v>433</v>
      </c>
      <c r="D4" s="199"/>
      <c r="E4" s="7" t="s">
        <v>30</v>
      </c>
      <c r="F4" s="7"/>
      <c r="G4" s="286"/>
      <c r="H4" s="283">
        <v>12</v>
      </c>
      <c r="I4" s="42" t="s">
        <v>434</v>
      </c>
      <c r="J4" s="42" t="s">
        <v>435</v>
      </c>
      <c r="K4" s="42" t="s">
        <v>436</v>
      </c>
      <c r="L4" s="42" t="s">
        <v>17</v>
      </c>
      <c r="M4" s="168"/>
      <c r="N4" s="284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</row>
    <row r="5" spans="1:36" ht="14.25" customHeight="1">
      <c r="A5" s="8">
        <v>3</v>
      </c>
      <c r="B5" s="69" t="s">
        <v>437</v>
      </c>
      <c r="C5" s="69" t="s">
        <v>438</v>
      </c>
      <c r="D5" s="287"/>
      <c r="E5" s="287" t="s">
        <v>30</v>
      </c>
      <c r="F5" s="5"/>
      <c r="G5" s="286"/>
      <c r="H5" s="283">
        <v>4</v>
      </c>
      <c r="I5" s="42"/>
      <c r="J5" s="42"/>
      <c r="K5" s="168"/>
      <c r="L5" s="168"/>
      <c r="M5" s="168"/>
      <c r="N5" s="284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</row>
    <row r="6" spans="1:36" ht="14.25" customHeight="1">
      <c r="A6" s="77">
        <v>4</v>
      </c>
      <c r="B6" s="36" t="s">
        <v>439</v>
      </c>
      <c r="C6" s="288" t="s">
        <v>440</v>
      </c>
      <c r="D6" s="259"/>
      <c r="E6" s="259" t="s">
        <v>78</v>
      </c>
      <c r="F6" s="257"/>
      <c r="G6" s="286"/>
      <c r="H6" s="283"/>
      <c r="I6" s="42"/>
      <c r="J6" s="42"/>
      <c r="K6" s="168"/>
      <c r="L6" s="168"/>
      <c r="M6" s="16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</row>
    <row r="7" spans="1:36" ht="14.25" customHeight="1">
      <c r="A7" s="77">
        <v>8</v>
      </c>
      <c r="B7" s="289" t="s">
        <v>441</v>
      </c>
      <c r="C7" s="42" t="s">
        <v>442</v>
      </c>
      <c r="D7" s="84"/>
      <c r="E7" s="84" t="s">
        <v>78</v>
      </c>
      <c r="F7" s="27"/>
      <c r="G7" s="46"/>
      <c r="H7" s="38">
        <v>7</v>
      </c>
      <c r="I7" s="42"/>
      <c r="J7" s="42"/>
      <c r="K7" s="168"/>
      <c r="L7" s="42"/>
      <c r="M7" s="25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</row>
    <row r="8" spans="1:36" ht="14.25" customHeight="1">
      <c r="A8" s="38">
        <v>9</v>
      </c>
      <c r="B8" s="289" t="s">
        <v>443</v>
      </c>
      <c r="C8" s="42" t="s">
        <v>444</v>
      </c>
      <c r="D8" s="84"/>
      <c r="E8" s="84" t="s">
        <v>78</v>
      </c>
      <c r="F8" s="27"/>
      <c r="G8" s="46"/>
      <c r="H8" s="38">
        <v>8</v>
      </c>
      <c r="I8" s="36"/>
      <c r="J8" s="36"/>
      <c r="K8" s="168"/>
      <c r="L8" s="42"/>
      <c r="M8" s="290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</row>
    <row r="9" spans="1:36" ht="14.25" customHeight="1">
      <c r="A9" s="38">
        <v>12</v>
      </c>
      <c r="B9" s="291" t="s">
        <v>445</v>
      </c>
      <c r="C9" s="36" t="s">
        <v>446</v>
      </c>
      <c r="D9" s="292"/>
      <c r="E9" s="27" t="s">
        <v>78</v>
      </c>
      <c r="F9" s="27"/>
      <c r="G9" s="46"/>
      <c r="H9" s="38"/>
      <c r="I9" s="36"/>
      <c r="J9" s="36"/>
      <c r="K9" s="36"/>
      <c r="L9" s="42"/>
      <c r="M9" s="25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</row>
    <row r="10" spans="1:36" ht="14.25" customHeight="1">
      <c r="A10" s="38">
        <v>19</v>
      </c>
      <c r="B10" s="293" t="s">
        <v>447</v>
      </c>
      <c r="C10" s="42" t="s">
        <v>448</v>
      </c>
      <c r="D10" s="294"/>
      <c r="E10" s="42" t="s">
        <v>78</v>
      </c>
      <c r="F10" s="27"/>
      <c r="G10" s="46"/>
      <c r="H10" s="38">
        <v>19</v>
      </c>
      <c r="I10" s="25"/>
      <c r="J10" s="27"/>
      <c r="K10" s="25"/>
      <c r="L10" s="25"/>
      <c r="M10" s="25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</row>
    <row r="11" spans="1:36" ht="14.25" customHeight="1">
      <c r="A11" s="38">
        <v>22</v>
      </c>
      <c r="B11" s="289" t="s">
        <v>449</v>
      </c>
      <c r="C11" s="42" t="s">
        <v>450</v>
      </c>
      <c r="D11" s="294"/>
      <c r="E11" s="42" t="s">
        <v>78</v>
      </c>
      <c r="F11" s="27"/>
      <c r="G11" s="46"/>
      <c r="H11" s="38">
        <v>22</v>
      </c>
      <c r="I11" s="25"/>
      <c r="J11" s="27"/>
      <c r="K11" s="25"/>
      <c r="L11" s="25"/>
      <c r="M11" s="25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</row>
    <row r="12" spans="1:36" ht="14.25" customHeight="1">
      <c r="A12" s="38">
        <v>23</v>
      </c>
      <c r="B12" s="289" t="s">
        <v>451</v>
      </c>
      <c r="C12" s="42" t="s">
        <v>452</v>
      </c>
      <c r="D12" s="295"/>
      <c r="E12" s="294" t="s">
        <v>78</v>
      </c>
      <c r="F12" s="296"/>
      <c r="G12" s="46"/>
      <c r="H12" s="38">
        <v>23</v>
      </c>
      <c r="I12" s="25"/>
      <c r="J12" s="25"/>
      <c r="K12" s="25"/>
      <c r="L12" s="25"/>
      <c r="M12" s="25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</row>
    <row r="13" spans="1:36" ht="14.25" customHeight="1">
      <c r="A13" s="38">
        <v>25</v>
      </c>
      <c r="B13" s="42" t="s">
        <v>453</v>
      </c>
      <c r="C13" s="42" t="s">
        <v>454</v>
      </c>
      <c r="D13" s="294"/>
      <c r="E13" s="42" t="s">
        <v>78</v>
      </c>
      <c r="F13" s="27"/>
      <c r="G13" s="46"/>
      <c r="H13" s="38">
        <v>25</v>
      </c>
      <c r="I13" s="27"/>
      <c r="J13" s="27"/>
      <c r="K13" s="27"/>
      <c r="L13" s="27"/>
      <c r="M13" s="27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</row>
    <row r="14" spans="1:36" ht="14.25" customHeight="1">
      <c r="A14" s="38">
        <v>27</v>
      </c>
      <c r="B14" s="42" t="s">
        <v>455</v>
      </c>
      <c r="C14" s="42" t="s">
        <v>456</v>
      </c>
      <c r="D14" s="294"/>
      <c r="E14" s="42" t="s">
        <v>78</v>
      </c>
      <c r="F14" s="27"/>
      <c r="G14" s="225"/>
      <c r="H14" s="38">
        <v>28</v>
      </c>
      <c r="I14" s="76"/>
      <c r="J14" s="76"/>
      <c r="K14" s="27"/>
      <c r="L14" s="27"/>
      <c r="M14" s="27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</row>
    <row r="15" spans="1:36" ht="14.25" customHeight="1">
      <c r="A15" s="38">
        <v>28</v>
      </c>
      <c r="B15" s="42" t="s">
        <v>457</v>
      </c>
      <c r="C15" s="42" t="s">
        <v>458</v>
      </c>
      <c r="D15" s="294"/>
      <c r="E15" s="42" t="s">
        <v>78</v>
      </c>
      <c r="F15" s="27"/>
      <c r="G15" s="46"/>
      <c r="H15" s="38">
        <v>29</v>
      </c>
      <c r="I15" s="27"/>
      <c r="J15" s="27"/>
      <c r="K15" s="27"/>
      <c r="L15" s="27"/>
      <c r="M15" s="27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</row>
    <row r="16" spans="1:36" ht="14.25" customHeight="1">
      <c r="A16" s="38">
        <v>34</v>
      </c>
      <c r="B16" s="110" t="s">
        <v>459</v>
      </c>
      <c r="C16" s="110" t="s">
        <v>460</v>
      </c>
      <c r="D16" s="294"/>
      <c r="E16" s="42" t="s">
        <v>78</v>
      </c>
      <c r="F16" s="27"/>
      <c r="G16" s="46"/>
      <c r="H16" s="38">
        <v>35</v>
      </c>
      <c r="I16" s="274"/>
      <c r="J16" s="274"/>
      <c r="K16" s="25"/>
      <c r="L16" s="25"/>
      <c r="M16" s="25"/>
      <c r="N16" s="3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</row>
    <row r="17" spans="1:36" ht="14.25" customHeight="1">
      <c r="A17" s="38">
        <v>35</v>
      </c>
      <c r="B17" s="110" t="s">
        <v>461</v>
      </c>
      <c r="C17" s="110" t="s">
        <v>462</v>
      </c>
      <c r="D17" s="294"/>
      <c r="E17" s="294" t="s">
        <v>78</v>
      </c>
      <c r="F17" s="297"/>
      <c r="G17" s="46"/>
      <c r="H17" s="38">
        <v>36</v>
      </c>
      <c r="I17" s="274"/>
      <c r="J17" s="274"/>
      <c r="K17" s="25"/>
      <c r="L17" s="25"/>
      <c r="M17" s="25"/>
      <c r="N17" s="3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</row>
    <row r="18" spans="1:36" ht="14.25" customHeight="1">
      <c r="A18" s="38">
        <v>42</v>
      </c>
      <c r="B18" s="110" t="s">
        <v>463</v>
      </c>
      <c r="C18" s="110" t="s">
        <v>464</v>
      </c>
      <c r="D18" s="294"/>
      <c r="E18" s="42" t="s">
        <v>78</v>
      </c>
      <c r="F18" s="297"/>
      <c r="G18" s="46"/>
      <c r="H18" s="38">
        <v>45</v>
      </c>
      <c r="I18" s="27"/>
      <c r="J18" s="27"/>
      <c r="K18" s="27"/>
      <c r="L18" s="27"/>
      <c r="M18" s="27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</row>
    <row r="19" spans="1:36" ht="14.25" customHeight="1">
      <c r="A19" s="38">
        <v>43</v>
      </c>
      <c r="B19" s="110" t="s">
        <v>465</v>
      </c>
      <c r="C19" s="110" t="s">
        <v>466</v>
      </c>
      <c r="D19" s="294"/>
      <c r="E19" s="294" t="s">
        <v>78</v>
      </c>
      <c r="F19" s="298"/>
      <c r="G19" s="46"/>
      <c r="H19" s="46"/>
      <c r="I19" s="11"/>
      <c r="J19" s="50"/>
      <c r="K19" s="50"/>
      <c r="L19" s="50"/>
      <c r="M19" s="50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</row>
    <row r="20" spans="1:36" ht="14.25" customHeight="1">
      <c r="A20" s="299"/>
      <c r="B20" s="42" t="s">
        <v>467</v>
      </c>
      <c r="C20" s="42" t="s">
        <v>468</v>
      </c>
      <c r="D20" s="25"/>
      <c r="E20" s="25"/>
      <c r="F20" s="25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1:36" ht="14.25" customHeight="1">
      <c r="A21" s="299"/>
      <c r="B21" s="300" t="s">
        <v>469</v>
      </c>
      <c r="C21" s="42" t="s">
        <v>470</v>
      </c>
      <c r="D21" s="42"/>
      <c r="E21" s="42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1:36" ht="14.25" customHeight="1">
      <c r="A22" s="299"/>
      <c r="B22" s="300" t="s">
        <v>471</v>
      </c>
      <c r="C22" s="42" t="s">
        <v>472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1:36" ht="14.25" customHeight="1">
      <c r="A23" s="299"/>
      <c r="B23" s="300" t="s">
        <v>473</v>
      </c>
      <c r="C23" s="42" t="s">
        <v>474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1:36" ht="14.25" customHeight="1">
      <c r="A24" s="299"/>
      <c r="B24" s="300" t="s">
        <v>475</v>
      </c>
      <c r="C24" s="42" t="s">
        <v>476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spans="1:36" ht="14.25" customHeight="1">
      <c r="A25" s="299"/>
      <c r="B25" s="300" t="s">
        <v>477</v>
      </c>
      <c r="C25" s="42" t="s">
        <v>478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1:36" ht="14.25" customHeight="1">
      <c r="A26" s="299">
        <v>73</v>
      </c>
      <c r="B26" s="300" t="s">
        <v>479</v>
      </c>
      <c r="C26" s="42" t="s">
        <v>480</v>
      </c>
      <c r="D26" s="27"/>
      <c r="E26" s="27"/>
      <c r="F26" s="27"/>
      <c r="G26" s="286"/>
      <c r="H26" s="46"/>
      <c r="I26" s="46"/>
      <c r="J26" s="46"/>
      <c r="K26" s="50"/>
      <c r="L26" s="50"/>
      <c r="M26" s="50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</row>
    <row r="27" spans="1:36" ht="14.25" customHeight="1">
      <c r="A27" s="299">
        <v>75</v>
      </c>
      <c r="B27" s="42" t="s">
        <v>481</v>
      </c>
      <c r="C27" s="42" t="s">
        <v>482</v>
      </c>
      <c r="D27" s="27"/>
      <c r="E27" s="27"/>
      <c r="F27" s="27"/>
      <c r="G27" s="286"/>
      <c r="H27" s="46"/>
      <c r="I27" s="46"/>
      <c r="J27" s="46"/>
      <c r="K27" s="50"/>
      <c r="L27" s="50"/>
      <c r="M27" s="50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</row>
    <row r="28" spans="1:36" ht="14.25" customHeight="1">
      <c r="A28" s="299">
        <v>76</v>
      </c>
      <c r="B28" s="42" t="s">
        <v>483</v>
      </c>
      <c r="C28" s="42" t="s">
        <v>484</v>
      </c>
      <c r="D28" s="27"/>
      <c r="E28" s="27"/>
      <c r="F28" s="27"/>
      <c r="G28" s="286"/>
      <c r="H28" s="46"/>
      <c r="I28" s="46"/>
      <c r="J28" s="46"/>
      <c r="K28" s="50"/>
      <c r="L28" s="50"/>
      <c r="M28" s="50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</row>
    <row r="29" spans="1:36" ht="14.25" customHeight="1">
      <c r="A29" s="180"/>
      <c r="B29" s="42" t="s">
        <v>485</v>
      </c>
      <c r="C29" s="42" t="s">
        <v>486</v>
      </c>
      <c r="D29" s="180"/>
      <c r="E29" s="27"/>
      <c r="F29" s="27"/>
      <c r="G29" s="286"/>
      <c r="H29" s="46"/>
      <c r="I29" s="46"/>
      <c r="J29" s="46"/>
      <c r="K29" s="50"/>
      <c r="L29" s="50"/>
      <c r="M29" s="50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</row>
    <row r="30" spans="1:36" ht="14.25" customHeight="1">
      <c r="A30" s="180"/>
      <c r="B30" s="42" t="s">
        <v>487</v>
      </c>
      <c r="C30" s="42" t="s">
        <v>488</v>
      </c>
      <c r="D30" s="180"/>
      <c r="E30" s="27"/>
      <c r="F30" s="27"/>
      <c r="G30" s="286"/>
      <c r="H30" s="46"/>
      <c r="I30" s="46"/>
      <c r="J30" s="46"/>
      <c r="K30" s="50"/>
      <c r="L30" s="50"/>
      <c r="M30" s="50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</row>
    <row r="31" spans="1:36" ht="14.25" customHeight="1">
      <c r="A31" s="180"/>
      <c r="B31" s="42" t="s">
        <v>489</v>
      </c>
      <c r="C31" s="42" t="s">
        <v>490</v>
      </c>
      <c r="D31" s="180"/>
      <c r="E31" s="27"/>
      <c r="F31" s="27"/>
      <c r="G31" s="286"/>
      <c r="H31" s="46"/>
      <c r="I31" s="46"/>
      <c r="J31" s="46"/>
      <c r="K31" s="50"/>
      <c r="L31" s="50"/>
      <c r="M31" s="50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</row>
    <row r="32" spans="1:36" ht="14.25" customHeight="1">
      <c r="A32" s="180"/>
      <c r="B32" s="42" t="s">
        <v>491</v>
      </c>
      <c r="C32" s="42" t="s">
        <v>492</v>
      </c>
      <c r="D32" s="180"/>
      <c r="E32" s="27"/>
      <c r="F32" s="27"/>
      <c r="G32" s="286"/>
      <c r="H32" s="46"/>
      <c r="I32" s="46"/>
      <c r="J32" s="46"/>
      <c r="K32" s="50"/>
      <c r="L32" s="50"/>
      <c r="M32" s="50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</row>
    <row r="33" spans="1:36" ht="14.25" customHeight="1">
      <c r="A33" s="180"/>
      <c r="B33" s="42" t="s">
        <v>493</v>
      </c>
      <c r="C33" s="42" t="s">
        <v>494</v>
      </c>
      <c r="D33" s="180"/>
      <c r="E33" s="27"/>
      <c r="F33" s="27"/>
      <c r="G33" s="286"/>
      <c r="H33" s="46"/>
      <c r="I33" s="46"/>
      <c r="J33" s="46"/>
      <c r="K33" s="50"/>
      <c r="L33" s="50"/>
      <c r="M33" s="50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</row>
    <row r="34" spans="1:36" ht="14.25" customHeight="1">
      <c r="A34" s="180"/>
      <c r="B34" s="42" t="s">
        <v>495</v>
      </c>
      <c r="C34" s="42" t="s">
        <v>496</v>
      </c>
      <c r="D34" s="180"/>
      <c r="E34" s="27"/>
      <c r="F34" s="27"/>
      <c r="G34" s="286"/>
      <c r="H34" s="46"/>
      <c r="I34" s="46"/>
      <c r="J34" s="46"/>
      <c r="K34" s="50"/>
      <c r="L34" s="50"/>
      <c r="M34" s="50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</row>
    <row r="35" spans="1:36" ht="14.25" customHeight="1">
      <c r="A35" s="180"/>
      <c r="B35" s="42" t="s">
        <v>497</v>
      </c>
      <c r="C35" s="42" t="s">
        <v>498</v>
      </c>
      <c r="D35" s="180"/>
      <c r="E35" s="27"/>
      <c r="F35" s="27"/>
      <c r="G35" s="286"/>
      <c r="H35" s="46"/>
      <c r="I35" s="46"/>
      <c r="J35" s="46"/>
      <c r="K35" s="50"/>
      <c r="L35" s="50"/>
      <c r="M35" s="50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</row>
    <row r="36" spans="1:36" ht="14.25" customHeight="1">
      <c r="A36" s="180"/>
      <c r="B36" s="42" t="s">
        <v>499</v>
      </c>
      <c r="C36" s="42" t="s">
        <v>500</v>
      </c>
      <c r="D36" s="180"/>
      <c r="E36" s="27"/>
      <c r="F36" s="27"/>
      <c r="G36" s="286"/>
      <c r="H36" s="46"/>
      <c r="I36" s="46"/>
      <c r="J36" s="46"/>
      <c r="K36" s="50"/>
      <c r="L36" s="50"/>
      <c r="M36" s="50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</row>
    <row r="37" spans="1:36" ht="14.25" customHeight="1">
      <c r="A37" s="180"/>
      <c r="B37" s="42" t="s">
        <v>501</v>
      </c>
      <c r="C37" s="42" t="s">
        <v>502</v>
      </c>
      <c r="D37" s="180"/>
      <c r="E37" s="27"/>
      <c r="F37" s="27"/>
      <c r="G37" s="286"/>
      <c r="H37" s="46"/>
      <c r="I37" s="46"/>
      <c r="J37" s="46"/>
      <c r="K37" s="50"/>
      <c r="L37" s="50"/>
      <c r="M37" s="50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</row>
    <row r="38" spans="1:36" ht="14.25" customHeight="1">
      <c r="A38" s="180"/>
      <c r="B38" s="42" t="s">
        <v>503</v>
      </c>
      <c r="C38" s="42" t="s">
        <v>504</v>
      </c>
      <c r="D38" s="180"/>
      <c r="E38" s="27"/>
      <c r="F38" s="27"/>
      <c r="G38" s="286"/>
      <c r="H38" s="46"/>
      <c r="I38" s="46"/>
      <c r="J38" s="46"/>
      <c r="K38" s="50"/>
      <c r="L38" s="50"/>
      <c r="M38" s="50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</row>
    <row r="39" spans="1:36" ht="14.25" customHeight="1">
      <c r="A39" s="180"/>
      <c r="B39" s="42" t="s">
        <v>505</v>
      </c>
      <c r="C39" s="42" t="s">
        <v>506</v>
      </c>
      <c r="D39" s="180"/>
      <c r="E39" s="27"/>
      <c r="F39" s="27"/>
      <c r="G39" s="286"/>
      <c r="H39" s="46"/>
      <c r="I39" s="46"/>
      <c r="J39" s="46"/>
      <c r="K39" s="50"/>
      <c r="L39" s="50"/>
      <c r="M39" s="50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</row>
    <row r="40" spans="1:36" ht="14.25" customHeight="1">
      <c r="A40" s="180"/>
      <c r="B40" s="42" t="s">
        <v>507</v>
      </c>
      <c r="C40" s="42" t="s">
        <v>496</v>
      </c>
      <c r="D40" s="180"/>
      <c r="E40" s="27"/>
      <c r="F40" s="27"/>
      <c r="G40" s="286"/>
      <c r="H40" s="46"/>
      <c r="I40" s="46"/>
      <c r="J40" s="46"/>
      <c r="K40" s="50"/>
      <c r="L40" s="50"/>
      <c r="M40" s="50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</row>
    <row r="41" spans="1:36" ht="14.25" customHeight="1">
      <c r="A41" s="180"/>
      <c r="B41" s="42" t="s">
        <v>497</v>
      </c>
      <c r="C41" s="42" t="s">
        <v>498</v>
      </c>
      <c r="D41" s="180"/>
      <c r="E41" s="27"/>
      <c r="F41" s="27"/>
      <c r="G41" s="286"/>
      <c r="H41" s="46"/>
      <c r="I41" s="46"/>
      <c r="J41" s="46"/>
      <c r="K41" s="50"/>
      <c r="L41" s="50"/>
      <c r="M41" s="50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</row>
    <row r="42" spans="1:36" ht="14.25" customHeight="1">
      <c r="A42" s="180"/>
      <c r="B42" s="42" t="s">
        <v>485</v>
      </c>
      <c r="C42" s="42" t="s">
        <v>508</v>
      </c>
      <c r="D42" s="180"/>
      <c r="E42" s="27"/>
      <c r="F42" s="27"/>
      <c r="G42" s="286"/>
      <c r="H42" s="46"/>
      <c r="I42" s="46"/>
      <c r="J42" s="46"/>
      <c r="K42" s="50"/>
      <c r="L42" s="50"/>
      <c r="M42" s="50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</row>
    <row r="43" spans="1:36" ht="14.25" customHeight="1">
      <c r="A43" s="180"/>
      <c r="B43" s="42" t="s">
        <v>509</v>
      </c>
      <c r="C43" s="42" t="s">
        <v>510</v>
      </c>
      <c r="D43" s="180"/>
      <c r="E43" s="27"/>
      <c r="F43" s="27"/>
      <c r="G43" s="286"/>
      <c r="H43" s="46"/>
      <c r="I43" s="46"/>
      <c r="J43" s="46"/>
      <c r="K43" s="50"/>
      <c r="L43" s="50"/>
      <c r="M43" s="50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</row>
    <row r="44" spans="1:36" ht="14.25" customHeight="1">
      <c r="A44" s="180"/>
      <c r="B44" s="42" t="s">
        <v>511</v>
      </c>
      <c r="C44" s="42" t="s">
        <v>512</v>
      </c>
      <c r="D44" s="180"/>
      <c r="E44" s="27"/>
      <c r="F44" s="27"/>
      <c r="G44" s="286"/>
      <c r="H44" s="46"/>
      <c r="I44" s="46"/>
      <c r="J44" s="46"/>
      <c r="K44" s="50"/>
      <c r="L44" s="50"/>
      <c r="M44" s="50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</row>
    <row r="45" spans="1:36" ht="14.25" customHeight="1">
      <c r="A45" s="46"/>
      <c r="D45" s="46"/>
      <c r="E45" s="50"/>
      <c r="F45" s="50"/>
      <c r="G45" s="286"/>
      <c r="H45" s="46"/>
      <c r="I45" s="46"/>
      <c r="J45" s="46"/>
      <c r="K45" s="50"/>
      <c r="L45" s="50"/>
      <c r="M45" s="50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</row>
    <row r="46" spans="1:36" ht="14.25" customHeight="1">
      <c r="A46" s="46"/>
      <c r="B46" s="46"/>
      <c r="C46" s="50"/>
      <c r="D46" s="46"/>
      <c r="E46" s="50"/>
      <c r="F46" s="50"/>
      <c r="G46" s="286"/>
      <c r="H46" s="46"/>
      <c r="I46" s="46"/>
      <c r="J46" s="46"/>
      <c r="K46" s="50"/>
      <c r="L46" s="50"/>
      <c r="M46" s="50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</row>
    <row r="47" spans="1:36" ht="14.25" customHeight="1">
      <c r="A47" s="46"/>
      <c r="B47" s="46"/>
      <c r="C47" s="50"/>
      <c r="D47" s="46"/>
      <c r="E47" s="50"/>
      <c r="F47" s="50"/>
      <c r="G47" s="286"/>
      <c r="H47" s="46"/>
      <c r="I47" s="46"/>
      <c r="J47" s="46"/>
      <c r="K47" s="50"/>
      <c r="L47" s="50"/>
      <c r="M47" s="50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</row>
    <row r="48" spans="1:36" ht="14.25" customHeight="1">
      <c r="A48" s="46"/>
      <c r="B48" s="46"/>
      <c r="C48" s="50"/>
      <c r="D48" s="46"/>
      <c r="E48" s="50"/>
      <c r="F48" s="50"/>
      <c r="G48" s="286"/>
      <c r="H48" s="46"/>
      <c r="I48" s="46"/>
      <c r="J48" s="46"/>
      <c r="K48" s="50"/>
      <c r="L48" s="50"/>
      <c r="M48" s="50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</row>
    <row r="49" spans="1:36" ht="14.25" customHeight="1">
      <c r="A49" s="46"/>
      <c r="B49" s="46"/>
      <c r="C49" s="50"/>
      <c r="D49" s="46"/>
      <c r="E49" s="50"/>
      <c r="F49" s="50"/>
      <c r="G49" s="286"/>
      <c r="H49" s="46"/>
      <c r="I49" s="46"/>
      <c r="J49" s="46"/>
      <c r="K49" s="50"/>
      <c r="L49" s="50"/>
      <c r="M49" s="50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</row>
    <row r="50" spans="1:36" ht="14.25" customHeight="1">
      <c r="A50" s="46"/>
      <c r="B50" s="46"/>
      <c r="C50" s="50"/>
      <c r="D50" s="46"/>
      <c r="E50" s="50"/>
      <c r="F50" s="50"/>
      <c r="G50" s="286"/>
      <c r="H50" s="46"/>
      <c r="I50" s="46"/>
      <c r="J50" s="46"/>
      <c r="K50" s="50"/>
      <c r="L50" s="50"/>
      <c r="M50" s="50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</row>
    <row r="51" spans="1:36" ht="14.25" customHeight="1">
      <c r="A51" s="46"/>
      <c r="B51" s="46"/>
      <c r="C51" s="50"/>
      <c r="D51" s="46"/>
      <c r="E51" s="50"/>
      <c r="F51" s="50"/>
      <c r="G51" s="286"/>
      <c r="H51" s="46"/>
      <c r="I51" s="46"/>
      <c r="J51" s="46"/>
      <c r="K51" s="50"/>
      <c r="L51" s="50"/>
      <c r="M51" s="50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</row>
    <row r="52" spans="1:36" ht="14.25" customHeight="1">
      <c r="A52" s="46"/>
      <c r="B52" s="46"/>
      <c r="C52" s="50"/>
      <c r="D52" s="46"/>
      <c r="E52" s="50"/>
      <c r="F52" s="50"/>
      <c r="G52" s="286"/>
      <c r="H52" s="46"/>
      <c r="I52" s="46"/>
      <c r="J52" s="46"/>
      <c r="K52" s="50"/>
      <c r="L52" s="50"/>
      <c r="M52" s="50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</row>
    <row r="53" spans="1:36" ht="14.25" customHeight="1">
      <c r="A53" s="46"/>
      <c r="B53" s="46"/>
      <c r="C53" s="50"/>
      <c r="D53" s="46"/>
      <c r="E53" s="50"/>
      <c r="F53" s="50"/>
      <c r="G53" s="286"/>
      <c r="H53" s="46"/>
      <c r="I53" s="46"/>
      <c r="J53" s="46"/>
      <c r="K53" s="50"/>
      <c r="L53" s="50"/>
      <c r="M53" s="50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</row>
    <row r="54" spans="1:36" ht="14.25" customHeight="1">
      <c r="A54" s="46"/>
      <c r="B54" s="46"/>
      <c r="C54" s="50"/>
      <c r="D54" s="46"/>
      <c r="E54" s="50"/>
      <c r="F54" s="50"/>
      <c r="G54" s="286"/>
      <c r="H54" s="46"/>
      <c r="I54" s="46"/>
      <c r="J54" s="46"/>
      <c r="K54" s="50"/>
      <c r="L54" s="50"/>
      <c r="M54" s="50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</row>
    <row r="55" spans="1:36" ht="14.25" customHeight="1">
      <c r="A55" s="46"/>
      <c r="B55" s="46"/>
      <c r="C55" s="50"/>
      <c r="D55" s="46"/>
      <c r="E55" s="50"/>
      <c r="F55" s="50"/>
      <c r="G55" s="286"/>
      <c r="H55" s="46"/>
      <c r="I55" s="46"/>
      <c r="J55" s="46"/>
      <c r="K55" s="50"/>
      <c r="L55" s="50"/>
      <c r="M55" s="50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</row>
    <row r="56" spans="1:36" ht="14.25" customHeight="1">
      <c r="A56" s="46"/>
      <c r="B56" s="46"/>
      <c r="C56" s="50"/>
      <c r="D56" s="46"/>
      <c r="E56" s="50"/>
      <c r="F56" s="50"/>
      <c r="G56" s="286"/>
      <c r="H56" s="46"/>
      <c r="I56" s="46"/>
      <c r="J56" s="46"/>
      <c r="K56" s="50"/>
      <c r="L56" s="50"/>
      <c r="M56" s="50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</row>
    <row r="57" spans="1:36" ht="14.25" customHeight="1">
      <c r="A57" s="46"/>
      <c r="B57" s="46"/>
      <c r="C57" s="50"/>
      <c r="D57" s="46"/>
      <c r="E57" s="50"/>
      <c r="F57" s="50"/>
      <c r="G57" s="286"/>
      <c r="H57" s="46"/>
      <c r="I57" s="46"/>
      <c r="J57" s="46"/>
      <c r="K57" s="50"/>
      <c r="L57" s="50"/>
      <c r="M57" s="50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spans="1:36" ht="14.25" customHeight="1">
      <c r="A58" s="46"/>
      <c r="B58" s="46"/>
      <c r="C58" s="50"/>
      <c r="D58" s="46"/>
      <c r="E58" s="50"/>
      <c r="F58" s="50"/>
      <c r="G58" s="286"/>
      <c r="H58" s="46"/>
      <c r="I58" s="46"/>
      <c r="J58" s="46"/>
      <c r="K58" s="50"/>
      <c r="L58" s="50"/>
      <c r="M58" s="50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spans="1:36" ht="14.25" customHeight="1">
      <c r="A59" s="46"/>
      <c r="B59" s="46"/>
      <c r="C59" s="50"/>
      <c r="D59" s="46"/>
      <c r="E59" s="50"/>
      <c r="F59" s="50"/>
      <c r="G59" s="286"/>
      <c r="H59" s="46"/>
      <c r="I59" s="46"/>
      <c r="J59" s="46"/>
      <c r="K59" s="50"/>
      <c r="L59" s="50"/>
      <c r="M59" s="50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spans="1:36" ht="14.25" customHeight="1">
      <c r="A60" s="46"/>
      <c r="B60" s="46"/>
      <c r="C60" s="50"/>
      <c r="D60" s="46"/>
      <c r="E60" s="50"/>
      <c r="F60" s="50"/>
      <c r="G60" s="286"/>
      <c r="H60" s="46"/>
      <c r="I60" s="46"/>
      <c r="J60" s="46"/>
      <c r="K60" s="50"/>
      <c r="L60" s="50"/>
      <c r="M60" s="50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spans="1:36" ht="14.25" customHeight="1">
      <c r="A61" s="46"/>
      <c r="B61" s="46"/>
      <c r="C61" s="50"/>
      <c r="D61" s="46"/>
      <c r="E61" s="50"/>
      <c r="F61" s="50"/>
      <c r="G61" s="286"/>
      <c r="H61" s="46"/>
      <c r="I61" s="46"/>
      <c r="J61" s="46"/>
      <c r="K61" s="50"/>
      <c r="L61" s="50"/>
      <c r="M61" s="50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spans="1:36" ht="14.25" customHeight="1">
      <c r="A62" s="46"/>
      <c r="B62" s="46"/>
      <c r="C62" s="50"/>
      <c r="D62" s="46"/>
      <c r="E62" s="50"/>
      <c r="F62" s="50"/>
      <c r="G62" s="286"/>
      <c r="H62" s="46"/>
      <c r="I62" s="46"/>
      <c r="J62" s="46"/>
      <c r="K62" s="50"/>
      <c r="L62" s="50"/>
      <c r="M62" s="50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spans="1:36" ht="14.25" customHeight="1">
      <c r="A63" s="46"/>
      <c r="B63" s="46"/>
      <c r="C63" s="50"/>
      <c r="D63" s="46"/>
      <c r="E63" s="50"/>
      <c r="F63" s="50"/>
      <c r="G63" s="286"/>
      <c r="H63" s="46"/>
      <c r="I63" s="46"/>
      <c r="J63" s="46"/>
      <c r="K63" s="50"/>
      <c r="L63" s="50"/>
      <c r="M63" s="50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spans="1:36" ht="14.25" customHeight="1">
      <c r="A64" s="46"/>
      <c r="B64" s="46"/>
      <c r="C64" s="50"/>
      <c r="D64" s="46"/>
      <c r="E64" s="50"/>
      <c r="F64" s="50"/>
      <c r="G64" s="286"/>
      <c r="H64" s="46"/>
      <c r="I64" s="46"/>
      <c r="J64" s="46"/>
      <c r="K64" s="50"/>
      <c r="L64" s="50"/>
      <c r="M64" s="50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spans="1:36" ht="14.25" customHeight="1">
      <c r="A65" s="46"/>
      <c r="B65" s="46"/>
      <c r="C65" s="50"/>
      <c r="D65" s="46"/>
      <c r="E65" s="50"/>
      <c r="F65" s="50"/>
      <c r="G65" s="286"/>
      <c r="H65" s="46"/>
      <c r="I65" s="46"/>
      <c r="J65" s="46"/>
      <c r="K65" s="50"/>
      <c r="L65" s="50"/>
      <c r="M65" s="50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spans="1:36" ht="14.25" customHeight="1">
      <c r="A66" s="46"/>
      <c r="B66" s="46"/>
      <c r="C66" s="50"/>
      <c r="D66" s="46"/>
      <c r="E66" s="50"/>
      <c r="F66" s="50"/>
      <c r="G66" s="286"/>
      <c r="H66" s="46"/>
      <c r="I66" s="46"/>
      <c r="J66" s="46"/>
      <c r="K66" s="50"/>
      <c r="L66" s="50"/>
      <c r="M66" s="50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spans="1:36" ht="14.25" customHeight="1">
      <c r="A67" s="46"/>
      <c r="B67" s="46"/>
      <c r="C67" s="50"/>
      <c r="D67" s="46"/>
      <c r="E67" s="50"/>
      <c r="F67" s="50"/>
      <c r="G67" s="286"/>
      <c r="H67" s="46"/>
      <c r="I67" s="46"/>
      <c r="J67" s="46"/>
      <c r="K67" s="50"/>
      <c r="L67" s="50"/>
      <c r="M67" s="50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spans="1:36" ht="14.25" customHeight="1">
      <c r="A68" s="46"/>
      <c r="B68" s="46"/>
      <c r="C68" s="50"/>
      <c r="D68" s="46"/>
      <c r="E68" s="50"/>
      <c r="F68" s="50"/>
      <c r="G68" s="286"/>
      <c r="H68" s="46"/>
      <c r="I68" s="46"/>
      <c r="J68" s="46"/>
      <c r="K68" s="50"/>
      <c r="L68" s="50"/>
      <c r="M68" s="50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spans="1:36" ht="14.25" customHeight="1">
      <c r="A69" s="46"/>
      <c r="B69" s="46"/>
      <c r="C69" s="50"/>
      <c r="D69" s="46"/>
      <c r="E69" s="50"/>
      <c r="F69" s="50"/>
      <c r="G69" s="286"/>
      <c r="H69" s="46"/>
      <c r="I69" s="46"/>
      <c r="J69" s="46"/>
      <c r="K69" s="50"/>
      <c r="L69" s="50"/>
      <c r="M69" s="50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spans="1:36" ht="14.25" customHeight="1">
      <c r="A70" s="46"/>
      <c r="B70" s="46"/>
      <c r="C70" s="50"/>
      <c r="D70" s="46"/>
      <c r="E70" s="50"/>
      <c r="F70" s="50"/>
      <c r="G70" s="286"/>
      <c r="H70" s="46"/>
      <c r="I70" s="46"/>
      <c r="J70" s="46"/>
      <c r="K70" s="50"/>
      <c r="L70" s="50"/>
      <c r="M70" s="50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spans="1:36" ht="14.25" customHeight="1">
      <c r="A71" s="46"/>
      <c r="B71" s="46"/>
      <c r="C71" s="50"/>
      <c r="D71" s="46"/>
      <c r="E71" s="50"/>
      <c r="F71" s="50"/>
      <c r="G71" s="286"/>
      <c r="H71" s="46"/>
      <c r="I71" s="46"/>
      <c r="J71" s="46"/>
      <c r="K71" s="50"/>
      <c r="L71" s="50"/>
      <c r="M71" s="50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spans="1:36" ht="14.25" customHeight="1">
      <c r="A72" s="46"/>
      <c r="B72" s="46"/>
      <c r="C72" s="50"/>
      <c r="D72" s="46"/>
      <c r="E72" s="50"/>
      <c r="F72" s="50"/>
      <c r="G72" s="286"/>
      <c r="H72" s="46"/>
      <c r="I72" s="46"/>
      <c r="J72" s="46"/>
      <c r="K72" s="50"/>
      <c r="L72" s="50"/>
      <c r="M72" s="50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spans="1:36" ht="14.25" customHeight="1">
      <c r="A73" s="46"/>
      <c r="B73" s="46"/>
      <c r="C73" s="50"/>
      <c r="D73" s="46"/>
      <c r="E73" s="50"/>
      <c r="F73" s="50"/>
      <c r="G73" s="286"/>
      <c r="H73" s="46"/>
      <c r="I73" s="46"/>
      <c r="J73" s="46"/>
      <c r="K73" s="50"/>
      <c r="L73" s="50"/>
      <c r="M73" s="50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spans="1:36" ht="14.25" customHeight="1">
      <c r="A74" s="46"/>
      <c r="B74" s="46"/>
      <c r="C74" s="50"/>
      <c r="D74" s="46"/>
      <c r="E74" s="50"/>
      <c r="F74" s="50"/>
      <c r="G74" s="286"/>
      <c r="H74" s="46"/>
      <c r="I74" s="46"/>
      <c r="J74" s="46"/>
      <c r="K74" s="50"/>
      <c r="L74" s="50"/>
      <c r="M74" s="50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spans="1:36" ht="14.25" customHeight="1">
      <c r="A75" s="46"/>
      <c r="B75" s="46"/>
      <c r="C75" s="50"/>
      <c r="D75" s="46"/>
      <c r="E75" s="50"/>
      <c r="F75" s="50"/>
      <c r="G75" s="286"/>
      <c r="H75" s="46"/>
      <c r="I75" s="46"/>
      <c r="J75" s="46"/>
      <c r="K75" s="50"/>
      <c r="L75" s="50"/>
      <c r="M75" s="50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spans="1:36" ht="14.25" customHeight="1">
      <c r="A76" s="46"/>
      <c r="B76" s="46"/>
      <c r="C76" s="50"/>
      <c r="D76" s="46"/>
      <c r="E76" s="50"/>
      <c r="F76" s="50"/>
      <c r="G76" s="286"/>
      <c r="H76" s="46"/>
      <c r="I76" s="46"/>
      <c r="J76" s="46"/>
      <c r="K76" s="50"/>
      <c r="L76" s="50"/>
      <c r="M76" s="50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spans="1:36" ht="14.25" customHeight="1">
      <c r="A77" s="46"/>
      <c r="B77" s="46"/>
      <c r="C77" s="50"/>
      <c r="D77" s="46"/>
      <c r="E77" s="50"/>
      <c r="F77" s="50"/>
      <c r="G77" s="286"/>
      <c r="H77" s="46"/>
      <c r="I77" s="46"/>
      <c r="J77" s="46"/>
      <c r="K77" s="50"/>
      <c r="L77" s="50"/>
      <c r="M77" s="50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spans="1:36" ht="14.25" customHeight="1">
      <c r="A78" s="46"/>
      <c r="B78" s="46"/>
      <c r="C78" s="50"/>
      <c r="D78" s="46"/>
      <c r="E78" s="50"/>
      <c r="F78" s="50"/>
      <c r="G78" s="286"/>
      <c r="H78" s="46"/>
      <c r="I78" s="46"/>
      <c r="J78" s="46"/>
      <c r="K78" s="50"/>
      <c r="L78" s="50"/>
      <c r="M78" s="50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spans="1:36" ht="14.25" customHeight="1">
      <c r="A79" s="46"/>
      <c r="B79" s="46"/>
      <c r="C79" s="50"/>
      <c r="D79" s="46"/>
      <c r="E79" s="50"/>
      <c r="F79" s="50"/>
      <c r="G79" s="286"/>
      <c r="H79" s="46"/>
      <c r="I79" s="46"/>
      <c r="J79" s="46"/>
      <c r="K79" s="50"/>
      <c r="L79" s="50"/>
      <c r="M79" s="50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spans="1:36" ht="14.25" customHeight="1">
      <c r="A80" s="46"/>
      <c r="B80" s="46"/>
      <c r="C80" s="50"/>
      <c r="D80" s="46"/>
      <c r="E80" s="50"/>
      <c r="F80" s="50"/>
      <c r="G80" s="286"/>
      <c r="H80" s="46"/>
      <c r="I80" s="46"/>
      <c r="J80" s="46"/>
      <c r="K80" s="50"/>
      <c r="L80" s="50"/>
      <c r="M80" s="50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spans="1:36" ht="14.25" customHeight="1">
      <c r="A81" s="46"/>
      <c r="B81" s="46"/>
      <c r="C81" s="50"/>
      <c r="D81" s="46"/>
      <c r="E81" s="50"/>
      <c r="F81" s="50"/>
      <c r="G81" s="286"/>
      <c r="H81" s="46"/>
      <c r="I81" s="46"/>
      <c r="J81" s="46"/>
      <c r="K81" s="50"/>
      <c r="L81" s="50"/>
      <c r="M81" s="50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spans="1:36" ht="14.25" customHeight="1">
      <c r="A82" s="46"/>
      <c r="B82" s="46"/>
      <c r="C82" s="50"/>
      <c r="D82" s="46"/>
      <c r="E82" s="50"/>
      <c r="F82" s="50"/>
      <c r="G82" s="286"/>
      <c r="H82" s="46"/>
      <c r="I82" s="46"/>
      <c r="J82" s="46"/>
      <c r="K82" s="50"/>
      <c r="L82" s="50"/>
      <c r="M82" s="50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spans="1:36" ht="14.25" customHeight="1">
      <c r="A83" s="46"/>
      <c r="B83" s="46"/>
      <c r="C83" s="50"/>
      <c r="D83" s="46"/>
      <c r="E83" s="50"/>
      <c r="F83" s="50"/>
      <c r="G83" s="286"/>
      <c r="H83" s="46"/>
      <c r="I83" s="46"/>
      <c r="J83" s="46"/>
      <c r="K83" s="50"/>
      <c r="L83" s="50"/>
      <c r="M83" s="50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spans="1:36" ht="14.25" customHeight="1">
      <c r="A84" s="46"/>
      <c r="B84" s="46"/>
      <c r="C84" s="50"/>
      <c r="D84" s="46"/>
      <c r="E84" s="50"/>
      <c r="F84" s="50"/>
      <c r="G84" s="286"/>
      <c r="H84" s="46"/>
      <c r="I84" s="46"/>
      <c r="J84" s="46"/>
      <c r="K84" s="50"/>
      <c r="L84" s="50"/>
      <c r="M84" s="50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spans="1:36" ht="14.25" customHeight="1">
      <c r="A85" s="46"/>
      <c r="B85" s="46"/>
      <c r="C85" s="50"/>
      <c r="D85" s="46"/>
      <c r="E85" s="50"/>
      <c r="F85" s="50"/>
      <c r="G85" s="286"/>
      <c r="H85" s="46"/>
      <c r="I85" s="46"/>
      <c r="J85" s="46"/>
      <c r="K85" s="50"/>
      <c r="L85" s="50"/>
      <c r="M85" s="50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spans="1:36" ht="14.25" customHeight="1">
      <c r="A86" s="46"/>
      <c r="B86" s="46"/>
      <c r="C86" s="50"/>
      <c r="D86" s="46"/>
      <c r="E86" s="50"/>
      <c r="F86" s="50"/>
      <c r="G86" s="286"/>
      <c r="H86" s="46"/>
      <c r="I86" s="46"/>
      <c r="J86" s="46"/>
      <c r="K86" s="50"/>
      <c r="L86" s="50"/>
      <c r="M86" s="50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spans="1:36" ht="14.25" customHeight="1">
      <c r="A87" s="46"/>
      <c r="B87" s="46"/>
      <c r="C87" s="50"/>
      <c r="D87" s="46"/>
      <c r="E87" s="50"/>
      <c r="F87" s="50"/>
      <c r="G87" s="286"/>
      <c r="H87" s="46"/>
      <c r="I87" s="46"/>
      <c r="J87" s="46"/>
      <c r="K87" s="50"/>
      <c r="L87" s="50"/>
      <c r="M87" s="50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spans="1:36" ht="14.25" customHeight="1">
      <c r="A88" s="46"/>
      <c r="B88" s="46"/>
      <c r="C88" s="50"/>
      <c r="D88" s="46"/>
      <c r="E88" s="50"/>
      <c r="F88" s="50"/>
      <c r="G88" s="286"/>
      <c r="H88" s="46"/>
      <c r="I88" s="46"/>
      <c r="J88" s="46"/>
      <c r="K88" s="50"/>
      <c r="L88" s="50"/>
      <c r="M88" s="50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spans="1:36" ht="14.25" customHeight="1">
      <c r="A89" s="46"/>
      <c r="B89" s="46"/>
      <c r="C89" s="50"/>
      <c r="D89" s="46"/>
      <c r="E89" s="50"/>
      <c r="F89" s="50"/>
      <c r="G89" s="286"/>
      <c r="H89" s="46"/>
      <c r="I89" s="46"/>
      <c r="J89" s="46"/>
      <c r="K89" s="50"/>
      <c r="L89" s="50"/>
      <c r="M89" s="50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spans="1:36" ht="14.25" customHeight="1">
      <c r="A90" s="46"/>
      <c r="B90" s="46"/>
      <c r="C90" s="50"/>
      <c r="D90" s="46"/>
      <c r="E90" s="50"/>
      <c r="F90" s="50"/>
      <c r="G90" s="286"/>
      <c r="H90" s="46"/>
      <c r="I90" s="46"/>
      <c r="J90" s="46"/>
      <c r="K90" s="50"/>
      <c r="L90" s="50"/>
      <c r="M90" s="50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spans="1:36" ht="14.25" customHeight="1">
      <c r="A91" s="46"/>
      <c r="B91" s="46"/>
      <c r="C91" s="50"/>
      <c r="D91" s="46"/>
      <c r="E91" s="50"/>
      <c r="F91" s="50"/>
      <c r="G91" s="286"/>
      <c r="H91" s="46"/>
      <c r="I91" s="46"/>
      <c r="J91" s="46"/>
      <c r="K91" s="50"/>
      <c r="L91" s="50"/>
      <c r="M91" s="50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spans="1:36" ht="14.25" customHeight="1">
      <c r="A92" s="46"/>
      <c r="B92" s="46"/>
      <c r="C92" s="50"/>
      <c r="D92" s="46"/>
      <c r="E92" s="50"/>
      <c r="F92" s="50"/>
      <c r="G92" s="286"/>
      <c r="H92" s="46"/>
      <c r="I92" s="46"/>
      <c r="J92" s="46"/>
      <c r="K92" s="50"/>
      <c r="L92" s="50"/>
      <c r="M92" s="50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</row>
    <row r="93" spans="1:36" ht="14.25" customHeight="1">
      <c r="A93" s="46"/>
      <c r="B93" s="46"/>
      <c r="C93" s="50"/>
      <c r="D93" s="46"/>
      <c r="E93" s="50"/>
      <c r="F93" s="50"/>
      <c r="G93" s="286"/>
      <c r="H93" s="46"/>
      <c r="I93" s="46"/>
      <c r="J93" s="46"/>
      <c r="K93" s="50"/>
      <c r="L93" s="50"/>
      <c r="M93" s="50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</row>
    <row r="94" spans="1:36" ht="14.25" customHeight="1">
      <c r="A94" s="46"/>
      <c r="B94" s="46"/>
      <c r="C94" s="50"/>
      <c r="D94" s="46"/>
      <c r="E94" s="50"/>
      <c r="F94" s="50"/>
      <c r="G94" s="286"/>
      <c r="H94" s="46"/>
      <c r="I94" s="46"/>
      <c r="J94" s="46"/>
      <c r="K94" s="50"/>
      <c r="L94" s="50"/>
      <c r="M94" s="50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</row>
    <row r="95" spans="1:36" ht="14.25" customHeight="1">
      <c r="A95" s="46"/>
      <c r="B95" s="46"/>
      <c r="C95" s="50"/>
      <c r="D95" s="46"/>
      <c r="E95" s="50"/>
      <c r="F95" s="50"/>
      <c r="G95" s="286"/>
      <c r="H95" s="46"/>
      <c r="I95" s="46"/>
      <c r="J95" s="46"/>
      <c r="K95" s="50"/>
      <c r="L95" s="50"/>
      <c r="M95" s="50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</row>
    <row r="96" spans="1:36" ht="14.25" customHeight="1">
      <c r="A96" s="46"/>
      <c r="B96" s="46"/>
      <c r="C96" s="50"/>
      <c r="D96" s="46"/>
      <c r="E96" s="50"/>
      <c r="F96" s="50"/>
      <c r="G96" s="286"/>
      <c r="H96" s="46"/>
      <c r="I96" s="46"/>
      <c r="J96" s="46"/>
      <c r="K96" s="50"/>
      <c r="L96" s="50"/>
      <c r="M96" s="50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</row>
    <row r="97" spans="1:36" ht="14.25" customHeight="1">
      <c r="A97" s="46"/>
      <c r="B97" s="46"/>
      <c r="C97" s="50"/>
      <c r="D97" s="46"/>
      <c r="E97" s="50"/>
      <c r="F97" s="50"/>
      <c r="G97" s="286"/>
      <c r="H97" s="46"/>
      <c r="I97" s="46"/>
      <c r="J97" s="46"/>
      <c r="K97" s="50"/>
      <c r="L97" s="50"/>
      <c r="M97" s="50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</row>
    <row r="98" spans="1:36" ht="14.25" customHeight="1">
      <c r="A98" s="46"/>
      <c r="B98" s="46"/>
      <c r="C98" s="50"/>
      <c r="D98" s="46"/>
      <c r="E98" s="50"/>
      <c r="F98" s="50"/>
      <c r="G98" s="286"/>
      <c r="H98" s="46"/>
      <c r="I98" s="46"/>
      <c r="J98" s="46"/>
      <c r="K98" s="50"/>
      <c r="L98" s="50"/>
      <c r="M98" s="50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</row>
    <row r="99" spans="1:36" ht="14.25" customHeight="1">
      <c r="A99" s="46"/>
      <c r="B99" s="46"/>
      <c r="C99" s="50"/>
      <c r="D99" s="46"/>
      <c r="E99" s="50"/>
      <c r="F99" s="50"/>
      <c r="G99" s="286"/>
      <c r="H99" s="46"/>
      <c r="I99" s="46"/>
      <c r="J99" s="46"/>
      <c r="K99" s="50"/>
      <c r="L99" s="50"/>
      <c r="M99" s="50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</row>
    <row r="100" spans="1:36" ht="14.25" customHeight="1">
      <c r="A100" s="46"/>
      <c r="B100" s="46"/>
      <c r="C100" s="50"/>
      <c r="D100" s="46"/>
      <c r="E100" s="50"/>
      <c r="F100" s="50"/>
      <c r="G100" s="286"/>
      <c r="H100" s="46"/>
      <c r="I100" s="46"/>
      <c r="J100" s="46"/>
      <c r="K100" s="50"/>
      <c r="L100" s="50"/>
      <c r="M100" s="50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</row>
    <row r="101" spans="1:36" ht="14.25" customHeight="1">
      <c r="A101" s="46"/>
      <c r="B101" s="46"/>
      <c r="C101" s="50"/>
      <c r="D101" s="46"/>
      <c r="E101" s="50"/>
      <c r="F101" s="50"/>
      <c r="G101" s="286"/>
      <c r="H101" s="46"/>
      <c r="I101" s="46"/>
      <c r="J101" s="46"/>
      <c r="K101" s="50"/>
      <c r="L101" s="50"/>
      <c r="M101" s="50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</row>
    <row r="102" spans="1:36" ht="14.25" customHeight="1">
      <c r="A102" s="46"/>
      <c r="B102" s="46"/>
      <c r="C102" s="50"/>
      <c r="D102" s="46"/>
      <c r="E102" s="50"/>
      <c r="F102" s="50"/>
      <c r="G102" s="286"/>
      <c r="H102" s="46"/>
      <c r="I102" s="46"/>
      <c r="J102" s="46"/>
      <c r="K102" s="50"/>
      <c r="L102" s="50"/>
      <c r="M102" s="50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</row>
    <row r="103" spans="1:36" ht="14.25" customHeight="1">
      <c r="A103" s="46"/>
      <c r="B103" s="46"/>
      <c r="C103" s="50"/>
      <c r="D103" s="46"/>
      <c r="E103" s="50"/>
      <c r="F103" s="50"/>
      <c r="G103" s="286"/>
      <c r="H103" s="46"/>
      <c r="I103" s="46"/>
      <c r="J103" s="46"/>
      <c r="K103" s="50"/>
      <c r="L103" s="50"/>
      <c r="M103" s="50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</row>
    <row r="104" spans="1:36" ht="14.25" customHeight="1">
      <c r="A104" s="46"/>
      <c r="B104" s="46"/>
      <c r="C104" s="50"/>
      <c r="D104" s="46"/>
      <c r="E104" s="50"/>
      <c r="F104" s="50"/>
      <c r="G104" s="286"/>
      <c r="H104" s="46"/>
      <c r="I104" s="46"/>
      <c r="J104" s="46"/>
      <c r="K104" s="50"/>
      <c r="L104" s="50"/>
      <c r="M104" s="50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</row>
    <row r="105" spans="1:36" ht="14.25" customHeight="1">
      <c r="A105" s="46"/>
      <c r="B105" s="46"/>
      <c r="C105" s="50"/>
      <c r="D105" s="46"/>
      <c r="E105" s="50"/>
      <c r="F105" s="50"/>
      <c r="G105" s="286"/>
      <c r="H105" s="46"/>
      <c r="I105" s="46"/>
      <c r="J105" s="46"/>
      <c r="K105" s="50"/>
      <c r="L105" s="50"/>
      <c r="M105" s="50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</row>
    <row r="106" spans="1:36" ht="14.25" customHeight="1">
      <c r="A106" s="46"/>
      <c r="B106" s="46"/>
      <c r="C106" s="50"/>
      <c r="D106" s="46"/>
      <c r="E106" s="50"/>
      <c r="F106" s="50"/>
      <c r="G106" s="286"/>
      <c r="H106" s="46"/>
      <c r="I106" s="46"/>
      <c r="J106" s="46"/>
      <c r="K106" s="50"/>
      <c r="L106" s="50"/>
      <c r="M106" s="50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</row>
    <row r="107" spans="1:36" ht="14.25" customHeight="1">
      <c r="A107" s="46"/>
      <c r="B107" s="46"/>
      <c r="C107" s="50"/>
      <c r="D107" s="46"/>
      <c r="E107" s="50"/>
      <c r="F107" s="50"/>
      <c r="G107" s="286"/>
      <c r="H107" s="46"/>
      <c r="I107" s="46"/>
      <c r="J107" s="46"/>
      <c r="K107" s="50"/>
      <c r="L107" s="50"/>
      <c r="M107" s="50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</row>
    <row r="108" spans="1:36" ht="14.25" customHeight="1">
      <c r="A108" s="46"/>
      <c r="B108" s="46"/>
      <c r="C108" s="50"/>
      <c r="D108" s="46"/>
      <c r="E108" s="50"/>
      <c r="F108" s="50"/>
      <c r="G108" s="286"/>
      <c r="H108" s="46"/>
      <c r="I108" s="46"/>
      <c r="J108" s="46"/>
      <c r="K108" s="50"/>
      <c r="L108" s="50"/>
      <c r="M108" s="50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</row>
    <row r="109" spans="1:36" ht="14.25" customHeight="1">
      <c r="A109" s="46"/>
      <c r="B109" s="46"/>
      <c r="C109" s="50"/>
      <c r="D109" s="46"/>
      <c r="E109" s="50"/>
      <c r="F109" s="50"/>
      <c r="G109" s="286"/>
      <c r="H109" s="46"/>
      <c r="I109" s="46"/>
      <c r="J109" s="46"/>
      <c r="K109" s="50"/>
      <c r="L109" s="50"/>
      <c r="M109" s="50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</row>
    <row r="110" spans="1:36" ht="14.25" customHeight="1">
      <c r="A110" s="46"/>
      <c r="B110" s="46"/>
      <c r="C110" s="50"/>
      <c r="D110" s="46"/>
      <c r="E110" s="50"/>
      <c r="F110" s="50"/>
      <c r="G110" s="286"/>
      <c r="H110" s="46"/>
      <c r="I110" s="46"/>
      <c r="J110" s="46"/>
      <c r="K110" s="50"/>
      <c r="L110" s="50"/>
      <c r="M110" s="50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</row>
    <row r="111" spans="1:36" ht="14.25" customHeight="1">
      <c r="A111" s="46"/>
      <c r="B111" s="46"/>
      <c r="C111" s="50"/>
      <c r="D111" s="46"/>
      <c r="E111" s="50"/>
      <c r="F111" s="50"/>
      <c r="G111" s="286"/>
      <c r="H111" s="46"/>
      <c r="I111" s="46"/>
      <c r="J111" s="46"/>
      <c r="K111" s="50"/>
      <c r="L111" s="50"/>
      <c r="M111" s="50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</row>
    <row r="112" spans="1:36" ht="14.25" customHeight="1">
      <c r="A112" s="46"/>
      <c r="B112" s="46"/>
      <c r="C112" s="50"/>
      <c r="D112" s="46"/>
      <c r="E112" s="50"/>
      <c r="F112" s="50"/>
      <c r="G112" s="286"/>
      <c r="H112" s="46"/>
      <c r="I112" s="46"/>
      <c r="J112" s="46"/>
      <c r="K112" s="50"/>
      <c r="L112" s="50"/>
      <c r="M112" s="50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</row>
    <row r="113" spans="1:36" ht="14.25" customHeight="1">
      <c r="A113" s="46"/>
      <c r="B113" s="46"/>
      <c r="C113" s="50"/>
      <c r="D113" s="46"/>
      <c r="E113" s="50"/>
      <c r="F113" s="50"/>
      <c r="G113" s="286"/>
      <c r="H113" s="46"/>
      <c r="I113" s="46"/>
      <c r="J113" s="46"/>
      <c r="K113" s="50"/>
      <c r="L113" s="50"/>
      <c r="M113" s="50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</row>
    <row r="114" spans="1:36" ht="14.25" customHeight="1">
      <c r="A114" s="46"/>
      <c r="B114" s="46"/>
      <c r="C114" s="50"/>
      <c r="D114" s="46"/>
      <c r="E114" s="50"/>
      <c r="F114" s="50"/>
      <c r="G114" s="286"/>
      <c r="H114" s="46"/>
      <c r="I114" s="46"/>
      <c r="J114" s="46"/>
      <c r="K114" s="50"/>
      <c r="L114" s="50"/>
      <c r="M114" s="50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</row>
    <row r="115" spans="1:36" ht="14.25" customHeight="1">
      <c r="A115" s="46"/>
      <c r="B115" s="46"/>
      <c r="C115" s="50"/>
      <c r="D115" s="46"/>
      <c r="E115" s="50"/>
      <c r="F115" s="50"/>
      <c r="G115" s="286"/>
      <c r="H115" s="46"/>
      <c r="I115" s="46"/>
      <c r="J115" s="46"/>
      <c r="K115" s="50"/>
      <c r="L115" s="50"/>
      <c r="M115" s="50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</row>
    <row r="116" spans="1:36" ht="14.25" customHeight="1">
      <c r="A116" s="46"/>
      <c r="B116" s="46"/>
      <c r="C116" s="50"/>
      <c r="D116" s="46"/>
      <c r="E116" s="50"/>
      <c r="F116" s="50"/>
      <c r="G116" s="286"/>
      <c r="H116" s="46"/>
      <c r="I116" s="46"/>
      <c r="J116" s="46"/>
      <c r="K116" s="50"/>
      <c r="L116" s="50"/>
      <c r="M116" s="50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</row>
    <row r="117" spans="1:36" ht="14.25" customHeight="1">
      <c r="A117" s="46"/>
      <c r="B117" s="46"/>
      <c r="C117" s="50"/>
      <c r="D117" s="46"/>
      <c r="E117" s="50"/>
      <c r="F117" s="50"/>
      <c r="G117" s="286"/>
      <c r="H117" s="46"/>
      <c r="I117" s="46"/>
      <c r="J117" s="46"/>
      <c r="K117" s="50"/>
      <c r="L117" s="50"/>
      <c r="M117" s="50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</row>
    <row r="118" spans="1:36" ht="14.25" customHeight="1">
      <c r="A118" s="46"/>
      <c r="B118" s="46"/>
      <c r="C118" s="50"/>
      <c r="D118" s="46"/>
      <c r="E118" s="50"/>
      <c r="F118" s="50"/>
      <c r="G118" s="286"/>
      <c r="H118" s="46"/>
      <c r="I118" s="46"/>
      <c r="J118" s="46"/>
      <c r="K118" s="50"/>
      <c r="L118" s="50"/>
      <c r="M118" s="50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</row>
    <row r="119" spans="1:36" ht="14.25" customHeight="1">
      <c r="A119" s="46"/>
      <c r="B119" s="46"/>
      <c r="C119" s="50"/>
      <c r="D119" s="46"/>
      <c r="E119" s="50"/>
      <c r="F119" s="50"/>
      <c r="G119" s="286"/>
      <c r="H119" s="46"/>
      <c r="I119" s="46"/>
      <c r="J119" s="46"/>
      <c r="K119" s="50"/>
      <c r="L119" s="50"/>
      <c r="M119" s="50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</row>
    <row r="120" spans="1:36" ht="14.25" customHeight="1">
      <c r="A120" s="46"/>
      <c r="B120" s="46"/>
      <c r="C120" s="50"/>
      <c r="D120" s="46"/>
      <c r="E120" s="50"/>
      <c r="F120" s="50"/>
      <c r="G120" s="286"/>
      <c r="H120" s="46"/>
      <c r="I120" s="46"/>
      <c r="J120" s="46"/>
      <c r="K120" s="50"/>
      <c r="L120" s="50"/>
      <c r="M120" s="50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</row>
    <row r="121" spans="1:36" ht="14.25" customHeight="1">
      <c r="A121" s="46"/>
      <c r="B121" s="46"/>
      <c r="C121" s="50"/>
      <c r="D121" s="46"/>
      <c r="E121" s="50"/>
      <c r="F121" s="50"/>
      <c r="G121" s="286"/>
      <c r="H121" s="46"/>
      <c r="I121" s="46"/>
      <c r="J121" s="46"/>
      <c r="K121" s="50"/>
      <c r="L121" s="50"/>
      <c r="M121" s="50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</row>
    <row r="122" spans="1:36" ht="14.25" customHeight="1">
      <c r="A122" s="46"/>
      <c r="B122" s="46"/>
      <c r="C122" s="50"/>
      <c r="D122" s="46"/>
      <c r="E122" s="50"/>
      <c r="F122" s="50"/>
      <c r="G122" s="286"/>
      <c r="H122" s="46"/>
      <c r="I122" s="46"/>
      <c r="J122" s="46"/>
      <c r="K122" s="50"/>
      <c r="L122" s="50"/>
      <c r="M122" s="50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</row>
    <row r="123" spans="1:36" ht="14.25" customHeight="1">
      <c r="A123" s="46"/>
      <c r="B123" s="46"/>
      <c r="C123" s="50"/>
      <c r="D123" s="46"/>
      <c r="E123" s="50"/>
      <c r="F123" s="50"/>
      <c r="G123" s="286"/>
      <c r="H123" s="46"/>
      <c r="I123" s="46"/>
      <c r="J123" s="46"/>
      <c r="K123" s="50"/>
      <c r="L123" s="50"/>
      <c r="M123" s="50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</row>
    <row r="124" spans="1:36" ht="14.25" customHeight="1">
      <c r="A124" s="46"/>
      <c r="B124" s="46"/>
      <c r="C124" s="50"/>
      <c r="D124" s="46"/>
      <c r="E124" s="50"/>
      <c r="F124" s="50"/>
      <c r="G124" s="286"/>
      <c r="H124" s="46"/>
      <c r="I124" s="46"/>
      <c r="J124" s="46"/>
      <c r="K124" s="50"/>
      <c r="L124" s="50"/>
      <c r="M124" s="50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</row>
    <row r="125" spans="1:36" ht="14.25" customHeight="1">
      <c r="A125" s="46"/>
      <c r="B125" s="46"/>
      <c r="C125" s="50"/>
      <c r="D125" s="46"/>
      <c r="E125" s="50"/>
      <c r="F125" s="50"/>
      <c r="G125" s="286"/>
      <c r="H125" s="46"/>
      <c r="I125" s="46"/>
      <c r="J125" s="46"/>
      <c r="K125" s="50"/>
      <c r="L125" s="50"/>
      <c r="M125" s="50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</row>
    <row r="126" spans="1:36" ht="14.25" customHeight="1">
      <c r="A126" s="46"/>
      <c r="B126" s="46"/>
      <c r="C126" s="50"/>
      <c r="D126" s="46"/>
      <c r="E126" s="50"/>
      <c r="F126" s="50"/>
      <c r="G126" s="286"/>
      <c r="H126" s="46"/>
      <c r="I126" s="46"/>
      <c r="J126" s="46"/>
      <c r="K126" s="50"/>
      <c r="L126" s="50"/>
      <c r="M126" s="50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</row>
    <row r="127" spans="1:36" ht="14.25" customHeight="1">
      <c r="A127" s="46"/>
      <c r="B127" s="46"/>
      <c r="C127" s="50"/>
      <c r="D127" s="46"/>
      <c r="E127" s="50"/>
      <c r="F127" s="50"/>
      <c r="G127" s="286"/>
      <c r="H127" s="46"/>
      <c r="I127" s="46"/>
      <c r="J127" s="46"/>
      <c r="K127" s="50"/>
      <c r="L127" s="50"/>
      <c r="M127" s="50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</row>
    <row r="128" spans="1:36" ht="14.25" customHeight="1">
      <c r="A128" s="46"/>
      <c r="B128" s="46"/>
      <c r="C128" s="50"/>
      <c r="D128" s="46"/>
      <c r="E128" s="50"/>
      <c r="F128" s="50"/>
      <c r="G128" s="286"/>
      <c r="H128" s="46"/>
      <c r="I128" s="46"/>
      <c r="J128" s="46"/>
      <c r="K128" s="50"/>
      <c r="L128" s="50"/>
      <c r="M128" s="50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</row>
    <row r="129" spans="1:36" ht="14.25" customHeight="1">
      <c r="A129" s="46"/>
      <c r="B129" s="46"/>
      <c r="C129" s="50"/>
      <c r="D129" s="46"/>
      <c r="E129" s="50"/>
      <c r="F129" s="50"/>
      <c r="G129" s="286"/>
      <c r="H129" s="46"/>
      <c r="I129" s="46"/>
      <c r="J129" s="46"/>
      <c r="K129" s="50"/>
      <c r="L129" s="50"/>
      <c r="M129" s="50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</row>
    <row r="130" spans="1:36" ht="14.25" customHeight="1">
      <c r="A130" s="46"/>
      <c r="B130" s="46"/>
      <c r="C130" s="50"/>
      <c r="D130" s="46"/>
      <c r="E130" s="50"/>
      <c r="F130" s="50"/>
      <c r="G130" s="286"/>
      <c r="H130" s="46"/>
      <c r="I130" s="46"/>
      <c r="J130" s="46"/>
      <c r="K130" s="50"/>
      <c r="L130" s="50"/>
      <c r="M130" s="50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</row>
    <row r="131" spans="1:36" ht="14.25" customHeight="1">
      <c r="A131" s="46"/>
      <c r="B131" s="46"/>
      <c r="C131" s="50"/>
      <c r="D131" s="46"/>
      <c r="E131" s="50"/>
      <c r="F131" s="50"/>
      <c r="G131" s="286"/>
      <c r="H131" s="46"/>
      <c r="I131" s="46"/>
      <c r="J131" s="46"/>
      <c r="K131" s="50"/>
      <c r="L131" s="50"/>
      <c r="M131" s="50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</row>
    <row r="132" spans="1:36" ht="14.25" customHeight="1">
      <c r="A132" s="46"/>
      <c r="B132" s="46"/>
      <c r="C132" s="50"/>
      <c r="D132" s="46"/>
      <c r="E132" s="50"/>
      <c r="F132" s="50"/>
      <c r="G132" s="286"/>
      <c r="H132" s="46"/>
      <c r="I132" s="46"/>
      <c r="J132" s="46"/>
      <c r="K132" s="50"/>
      <c r="L132" s="50"/>
      <c r="M132" s="50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</row>
    <row r="133" spans="1:36" ht="14.25" customHeight="1">
      <c r="A133" s="46"/>
      <c r="B133" s="46"/>
      <c r="C133" s="50"/>
      <c r="D133" s="46"/>
      <c r="E133" s="50"/>
      <c r="F133" s="50"/>
      <c r="G133" s="286"/>
      <c r="H133" s="46"/>
      <c r="I133" s="46"/>
      <c r="J133" s="46"/>
      <c r="K133" s="50"/>
      <c r="L133" s="50"/>
      <c r="M133" s="50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</row>
    <row r="134" spans="1:36" ht="14.25" customHeight="1">
      <c r="A134" s="46"/>
      <c r="B134" s="46"/>
      <c r="C134" s="50"/>
      <c r="D134" s="46"/>
      <c r="E134" s="50"/>
      <c r="F134" s="50"/>
      <c r="G134" s="286"/>
      <c r="H134" s="46"/>
      <c r="I134" s="46"/>
      <c r="J134" s="46"/>
      <c r="K134" s="50"/>
      <c r="L134" s="50"/>
      <c r="M134" s="50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</row>
    <row r="135" spans="1:36" ht="14.25" customHeight="1">
      <c r="A135" s="46"/>
      <c r="B135" s="46"/>
      <c r="C135" s="50"/>
      <c r="D135" s="46"/>
      <c r="E135" s="50"/>
      <c r="F135" s="50"/>
      <c r="G135" s="286"/>
      <c r="H135" s="46"/>
      <c r="I135" s="46"/>
      <c r="J135" s="46"/>
      <c r="K135" s="50"/>
      <c r="L135" s="50"/>
      <c r="M135" s="50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</row>
    <row r="136" spans="1:36" ht="14.25" customHeight="1">
      <c r="A136" s="46"/>
      <c r="B136" s="46"/>
      <c r="C136" s="50"/>
      <c r="D136" s="46"/>
      <c r="E136" s="50"/>
      <c r="F136" s="50"/>
      <c r="G136" s="286"/>
      <c r="H136" s="46"/>
      <c r="I136" s="46"/>
      <c r="J136" s="46"/>
      <c r="K136" s="50"/>
      <c r="L136" s="50"/>
      <c r="M136" s="50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</row>
    <row r="137" spans="1:36" ht="14.25" customHeight="1">
      <c r="A137" s="46"/>
      <c r="B137" s="46"/>
      <c r="C137" s="50"/>
      <c r="D137" s="46"/>
      <c r="E137" s="50"/>
      <c r="F137" s="50"/>
      <c r="G137" s="286"/>
      <c r="H137" s="46"/>
      <c r="I137" s="46"/>
      <c r="J137" s="46"/>
      <c r="K137" s="50"/>
      <c r="L137" s="50"/>
      <c r="M137" s="50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</row>
    <row r="138" spans="1:36" ht="14.25" customHeight="1">
      <c r="A138" s="46"/>
      <c r="B138" s="46"/>
      <c r="C138" s="50"/>
      <c r="D138" s="46"/>
      <c r="E138" s="50"/>
      <c r="F138" s="50"/>
      <c r="G138" s="286"/>
      <c r="H138" s="46"/>
      <c r="I138" s="46"/>
      <c r="J138" s="46"/>
      <c r="K138" s="50"/>
      <c r="L138" s="50"/>
      <c r="M138" s="50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</row>
    <row r="139" spans="1:36" ht="14.25" customHeight="1">
      <c r="A139" s="46"/>
      <c r="B139" s="46"/>
      <c r="C139" s="50"/>
      <c r="D139" s="46"/>
      <c r="E139" s="50"/>
      <c r="F139" s="50"/>
      <c r="G139" s="286"/>
      <c r="H139" s="46"/>
      <c r="I139" s="46"/>
      <c r="J139" s="46"/>
      <c r="K139" s="50"/>
      <c r="L139" s="50"/>
      <c r="M139" s="50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</row>
    <row r="140" spans="1:36" ht="14.25" customHeight="1">
      <c r="A140" s="46"/>
      <c r="B140" s="46"/>
      <c r="C140" s="50"/>
      <c r="D140" s="46"/>
      <c r="E140" s="50"/>
      <c r="F140" s="50"/>
      <c r="G140" s="286"/>
      <c r="H140" s="46"/>
      <c r="I140" s="46"/>
      <c r="J140" s="46"/>
      <c r="K140" s="50"/>
      <c r="L140" s="50"/>
      <c r="M140" s="50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</row>
    <row r="141" spans="1:36" ht="14.25" customHeight="1">
      <c r="A141" s="46"/>
      <c r="B141" s="46"/>
      <c r="C141" s="50"/>
      <c r="D141" s="46"/>
      <c r="E141" s="50"/>
      <c r="F141" s="50"/>
      <c r="G141" s="286"/>
      <c r="H141" s="46"/>
      <c r="I141" s="46"/>
      <c r="J141" s="46"/>
      <c r="K141" s="50"/>
      <c r="L141" s="50"/>
      <c r="M141" s="50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</row>
    <row r="142" spans="1:36" ht="14.25" customHeight="1">
      <c r="A142" s="46"/>
      <c r="B142" s="46"/>
      <c r="C142" s="50"/>
      <c r="D142" s="46"/>
      <c r="E142" s="50"/>
      <c r="F142" s="50"/>
      <c r="G142" s="286"/>
      <c r="H142" s="46"/>
      <c r="I142" s="46"/>
      <c r="J142" s="46"/>
      <c r="K142" s="50"/>
      <c r="L142" s="50"/>
      <c r="M142" s="50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</row>
    <row r="143" spans="1:36" ht="14.25" customHeight="1">
      <c r="A143" s="46"/>
      <c r="B143" s="46"/>
      <c r="C143" s="50"/>
      <c r="D143" s="46"/>
      <c r="E143" s="50"/>
      <c r="F143" s="50"/>
      <c r="G143" s="286"/>
      <c r="H143" s="46"/>
      <c r="I143" s="46"/>
      <c r="J143" s="46"/>
      <c r="K143" s="50"/>
      <c r="L143" s="50"/>
      <c r="M143" s="50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</row>
    <row r="144" spans="1:36" ht="14.25" customHeight="1">
      <c r="A144" s="46"/>
      <c r="B144" s="46"/>
      <c r="C144" s="50"/>
      <c r="D144" s="46"/>
      <c r="E144" s="50"/>
      <c r="F144" s="50"/>
      <c r="G144" s="286"/>
      <c r="H144" s="46"/>
      <c r="I144" s="46"/>
      <c r="J144" s="46"/>
      <c r="K144" s="50"/>
      <c r="L144" s="50"/>
      <c r="M144" s="50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</row>
    <row r="145" spans="1:36" ht="14.25" customHeight="1">
      <c r="A145" s="46"/>
      <c r="B145" s="46"/>
      <c r="C145" s="50"/>
      <c r="D145" s="46"/>
      <c r="E145" s="50"/>
      <c r="F145" s="50"/>
      <c r="G145" s="286"/>
      <c r="H145" s="46"/>
      <c r="I145" s="46"/>
      <c r="J145" s="46"/>
      <c r="K145" s="50"/>
      <c r="L145" s="50"/>
      <c r="M145" s="50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</row>
    <row r="146" spans="1:36" ht="14.25" customHeight="1">
      <c r="A146" s="46"/>
      <c r="B146" s="46"/>
      <c r="C146" s="50"/>
      <c r="D146" s="46"/>
      <c r="E146" s="50"/>
      <c r="F146" s="50"/>
      <c r="G146" s="286"/>
      <c r="H146" s="46"/>
      <c r="I146" s="46"/>
      <c r="J146" s="46"/>
      <c r="K146" s="50"/>
      <c r="L146" s="50"/>
      <c r="M146" s="50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</row>
    <row r="147" spans="1:36" ht="14.25" customHeight="1">
      <c r="A147" s="46"/>
      <c r="B147" s="46"/>
      <c r="C147" s="50"/>
      <c r="D147" s="46"/>
      <c r="E147" s="50"/>
      <c r="F147" s="50"/>
      <c r="G147" s="286"/>
      <c r="H147" s="46"/>
      <c r="I147" s="46"/>
      <c r="J147" s="46"/>
      <c r="K147" s="50"/>
      <c r="L147" s="50"/>
      <c r="M147" s="50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</row>
    <row r="148" spans="1:36" ht="14.25" customHeight="1">
      <c r="A148" s="46"/>
      <c r="B148" s="46"/>
      <c r="C148" s="50"/>
      <c r="D148" s="46"/>
      <c r="E148" s="50"/>
      <c r="F148" s="50"/>
      <c r="G148" s="286"/>
      <c r="H148" s="46"/>
      <c r="I148" s="46"/>
      <c r="J148" s="46"/>
      <c r="K148" s="50"/>
      <c r="L148" s="50"/>
      <c r="M148" s="50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</row>
    <row r="149" spans="1:36" ht="14.25" customHeight="1">
      <c r="A149" s="46"/>
      <c r="B149" s="46"/>
      <c r="C149" s="50"/>
      <c r="D149" s="46"/>
      <c r="E149" s="50"/>
      <c r="F149" s="50"/>
      <c r="G149" s="286"/>
      <c r="H149" s="46"/>
      <c r="I149" s="46"/>
      <c r="J149" s="46"/>
      <c r="K149" s="50"/>
      <c r="L149" s="50"/>
      <c r="M149" s="50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</row>
    <row r="150" spans="1:36" ht="14.25" customHeight="1">
      <c r="A150" s="46"/>
      <c r="B150" s="46"/>
      <c r="C150" s="50"/>
      <c r="D150" s="46"/>
      <c r="E150" s="50"/>
      <c r="F150" s="50"/>
      <c r="G150" s="286"/>
      <c r="H150" s="46"/>
      <c r="I150" s="46"/>
      <c r="J150" s="46"/>
      <c r="K150" s="50"/>
      <c r="L150" s="50"/>
      <c r="M150" s="50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</row>
    <row r="151" spans="1:36" ht="14.25" customHeight="1">
      <c r="A151" s="46"/>
      <c r="B151" s="46"/>
      <c r="C151" s="50"/>
      <c r="D151" s="46"/>
      <c r="E151" s="50"/>
      <c r="F151" s="50"/>
      <c r="G151" s="286"/>
      <c r="H151" s="46"/>
      <c r="I151" s="46"/>
      <c r="J151" s="46"/>
      <c r="K151" s="50"/>
      <c r="L151" s="50"/>
      <c r="M151" s="50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</row>
    <row r="152" spans="1:36" ht="14.25" customHeight="1">
      <c r="A152" s="46"/>
      <c r="B152" s="46"/>
      <c r="C152" s="50"/>
      <c r="D152" s="46"/>
      <c r="E152" s="50"/>
      <c r="F152" s="50"/>
      <c r="G152" s="286"/>
      <c r="H152" s="46"/>
      <c r="I152" s="46"/>
      <c r="J152" s="46"/>
      <c r="K152" s="50"/>
      <c r="L152" s="50"/>
      <c r="M152" s="50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</row>
    <row r="153" spans="1:36" ht="14.25" customHeight="1">
      <c r="A153" s="46"/>
      <c r="B153" s="46"/>
      <c r="C153" s="50"/>
      <c r="D153" s="46"/>
      <c r="E153" s="50"/>
      <c r="F153" s="50"/>
      <c r="G153" s="286"/>
      <c r="H153" s="46"/>
      <c r="I153" s="46"/>
      <c r="J153" s="46"/>
      <c r="K153" s="50"/>
      <c r="L153" s="50"/>
      <c r="M153" s="50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</row>
    <row r="154" spans="1:36" ht="15.75" customHeight="1">
      <c r="E154" s="18"/>
      <c r="F154" s="18"/>
      <c r="G154" s="301"/>
    </row>
    <row r="155" spans="1:36" ht="15.75" customHeight="1">
      <c r="E155" s="18"/>
      <c r="F155" s="18"/>
      <c r="G155" s="301"/>
    </row>
    <row r="156" spans="1:36" ht="15.75" customHeight="1">
      <c r="E156" s="18"/>
      <c r="F156" s="18"/>
      <c r="G156" s="301"/>
    </row>
    <row r="157" spans="1:36" ht="15.75" customHeight="1">
      <c r="E157" s="18"/>
      <c r="F157" s="18"/>
      <c r="G157" s="301"/>
    </row>
    <row r="158" spans="1:36" ht="15.75" customHeight="1">
      <c r="E158" s="18"/>
      <c r="F158" s="18"/>
      <c r="G158" s="301"/>
    </row>
    <row r="159" spans="1:36" ht="15.75" customHeight="1">
      <c r="E159" s="18"/>
      <c r="F159" s="18"/>
      <c r="G159" s="301"/>
    </row>
    <row r="160" spans="1:36" ht="15.75" customHeight="1">
      <c r="E160" s="18"/>
      <c r="F160" s="18"/>
      <c r="G160" s="301"/>
    </row>
    <row r="161" spans="5:7" ht="15.75" customHeight="1">
      <c r="E161" s="18"/>
      <c r="F161" s="18"/>
      <c r="G161" s="301"/>
    </row>
    <row r="162" spans="5:7" ht="15.75" customHeight="1">
      <c r="E162" s="18"/>
      <c r="F162" s="18"/>
      <c r="G162" s="301"/>
    </row>
    <row r="163" spans="5:7" ht="15.75" customHeight="1">
      <c r="E163" s="18"/>
      <c r="F163" s="18"/>
      <c r="G163" s="301"/>
    </row>
    <row r="164" spans="5:7" ht="15.75" customHeight="1">
      <c r="E164" s="18"/>
      <c r="F164" s="18"/>
      <c r="G164" s="301"/>
    </row>
    <row r="165" spans="5:7" ht="15.75" customHeight="1">
      <c r="E165" s="18"/>
      <c r="F165" s="18"/>
      <c r="G165" s="301"/>
    </row>
    <row r="166" spans="5:7" ht="15.75" customHeight="1">
      <c r="E166" s="18"/>
      <c r="F166" s="18"/>
      <c r="G166" s="301"/>
    </row>
    <row r="167" spans="5:7" ht="15.75" customHeight="1">
      <c r="E167" s="18"/>
      <c r="F167" s="18"/>
      <c r="G167" s="301"/>
    </row>
    <row r="168" spans="5:7" ht="15.75" customHeight="1">
      <c r="E168" s="18"/>
      <c r="F168" s="18"/>
      <c r="G168" s="301"/>
    </row>
    <row r="169" spans="5:7" ht="15.75" customHeight="1">
      <c r="E169" s="18"/>
      <c r="F169" s="18"/>
      <c r="G169" s="301"/>
    </row>
    <row r="170" spans="5:7" ht="15.75" customHeight="1">
      <c r="E170" s="18"/>
      <c r="F170" s="18"/>
      <c r="G170" s="301"/>
    </row>
    <row r="171" spans="5:7" ht="15.75" customHeight="1">
      <c r="E171" s="18"/>
      <c r="F171" s="18"/>
      <c r="G171" s="301"/>
    </row>
    <row r="172" spans="5:7" ht="15.75" customHeight="1">
      <c r="E172" s="18"/>
      <c r="F172" s="18"/>
      <c r="G172" s="301"/>
    </row>
    <row r="173" spans="5:7" ht="15.75" customHeight="1">
      <c r="E173" s="18"/>
      <c r="F173" s="18"/>
      <c r="G173" s="301"/>
    </row>
    <row r="174" spans="5:7" ht="15.75" customHeight="1">
      <c r="E174" s="18"/>
      <c r="F174" s="18"/>
      <c r="G174" s="301"/>
    </row>
    <row r="175" spans="5:7" ht="15.75" customHeight="1">
      <c r="E175" s="18"/>
      <c r="F175" s="18"/>
      <c r="G175" s="301"/>
    </row>
    <row r="176" spans="5:7" ht="15.75" customHeight="1">
      <c r="E176" s="18"/>
      <c r="F176" s="18"/>
      <c r="G176" s="301"/>
    </row>
    <row r="177" spans="5:7" ht="15.75" customHeight="1">
      <c r="E177" s="18"/>
      <c r="F177" s="18"/>
      <c r="G177" s="301"/>
    </row>
    <row r="178" spans="5:7" ht="15.75" customHeight="1">
      <c r="E178" s="18"/>
      <c r="F178" s="18"/>
      <c r="G178" s="301"/>
    </row>
    <row r="179" spans="5:7" ht="15.75" customHeight="1">
      <c r="E179" s="18"/>
      <c r="F179" s="18"/>
      <c r="G179" s="301"/>
    </row>
    <row r="180" spans="5:7" ht="15.75" customHeight="1">
      <c r="E180" s="18"/>
      <c r="F180" s="18"/>
      <c r="G180" s="301"/>
    </row>
    <row r="181" spans="5:7" ht="15.75" customHeight="1">
      <c r="E181" s="18"/>
      <c r="F181" s="18"/>
      <c r="G181" s="301"/>
    </row>
    <row r="182" spans="5:7" ht="15.75" customHeight="1">
      <c r="E182" s="18"/>
      <c r="F182" s="18"/>
      <c r="G182" s="301"/>
    </row>
    <row r="183" spans="5:7" ht="15.75" customHeight="1">
      <c r="E183" s="18"/>
      <c r="F183" s="18"/>
      <c r="G183" s="301"/>
    </row>
    <row r="184" spans="5:7" ht="15.75" customHeight="1">
      <c r="E184" s="18"/>
      <c r="F184" s="18"/>
      <c r="G184" s="301"/>
    </row>
    <row r="185" spans="5:7" ht="15.75" customHeight="1">
      <c r="E185" s="18"/>
      <c r="F185" s="18"/>
      <c r="G185" s="301"/>
    </row>
    <row r="186" spans="5:7" ht="15.75" customHeight="1">
      <c r="E186" s="18"/>
      <c r="F186" s="18"/>
      <c r="G186" s="301"/>
    </row>
    <row r="187" spans="5:7" ht="15.75" customHeight="1">
      <c r="E187" s="18"/>
      <c r="F187" s="18"/>
      <c r="G187" s="301"/>
    </row>
    <row r="188" spans="5:7" ht="15.75" customHeight="1">
      <c r="E188" s="18"/>
      <c r="F188" s="18"/>
      <c r="G188" s="301"/>
    </row>
    <row r="189" spans="5:7" ht="15.75" customHeight="1">
      <c r="E189" s="18"/>
      <c r="F189" s="18"/>
      <c r="G189" s="301"/>
    </row>
    <row r="190" spans="5:7" ht="15.75" customHeight="1">
      <c r="E190" s="18"/>
      <c r="F190" s="18"/>
      <c r="G190" s="301"/>
    </row>
    <row r="191" spans="5:7" ht="15.75" customHeight="1">
      <c r="E191" s="18"/>
      <c r="F191" s="18"/>
      <c r="G191" s="301"/>
    </row>
    <row r="192" spans="5:7" ht="15.75" customHeight="1">
      <c r="E192" s="18"/>
      <c r="F192" s="18"/>
      <c r="G192" s="301"/>
    </row>
    <row r="193" spans="5:7" ht="15.75" customHeight="1">
      <c r="E193" s="18"/>
      <c r="F193" s="18"/>
      <c r="G193" s="301"/>
    </row>
    <row r="194" spans="5:7" ht="15.75" customHeight="1">
      <c r="E194" s="18"/>
      <c r="F194" s="18"/>
      <c r="G194" s="301"/>
    </row>
    <row r="195" spans="5:7" ht="15.75" customHeight="1">
      <c r="E195" s="18"/>
      <c r="F195" s="18"/>
      <c r="G195" s="301"/>
    </row>
    <row r="196" spans="5:7" ht="15.75" customHeight="1">
      <c r="E196" s="18"/>
      <c r="F196" s="18"/>
      <c r="G196" s="301"/>
    </row>
    <row r="197" spans="5:7" ht="15.75" customHeight="1">
      <c r="E197" s="18"/>
      <c r="F197" s="18"/>
      <c r="G197" s="301"/>
    </row>
    <row r="198" spans="5:7" ht="15.75" customHeight="1">
      <c r="E198" s="18"/>
      <c r="F198" s="18"/>
      <c r="G198" s="301"/>
    </row>
    <row r="199" spans="5:7" ht="15.75" customHeight="1">
      <c r="E199" s="18"/>
      <c r="F199" s="18"/>
      <c r="G199" s="301"/>
    </row>
    <row r="200" spans="5:7" ht="15.75" customHeight="1">
      <c r="E200" s="18"/>
      <c r="F200" s="18"/>
      <c r="G200" s="301"/>
    </row>
    <row r="201" spans="5:7" ht="15.75" customHeight="1">
      <c r="E201" s="18"/>
      <c r="F201" s="18"/>
      <c r="G201" s="301"/>
    </row>
    <row r="202" spans="5:7" ht="15.75" customHeight="1">
      <c r="E202" s="18"/>
      <c r="F202" s="18"/>
      <c r="G202" s="301"/>
    </row>
    <row r="203" spans="5:7" ht="15.75" customHeight="1">
      <c r="E203" s="18"/>
      <c r="F203" s="18"/>
      <c r="G203" s="301"/>
    </row>
    <row r="204" spans="5:7" ht="15.75" customHeight="1">
      <c r="E204" s="18"/>
      <c r="F204" s="18"/>
      <c r="G204" s="301"/>
    </row>
    <row r="205" spans="5:7" ht="15.75" customHeight="1">
      <c r="E205" s="18"/>
      <c r="F205" s="18"/>
      <c r="G205" s="301"/>
    </row>
    <row r="206" spans="5:7" ht="15.75" customHeight="1">
      <c r="E206" s="18"/>
      <c r="F206" s="18"/>
      <c r="G206" s="301"/>
    </row>
    <row r="207" spans="5:7" ht="15.75" customHeight="1">
      <c r="E207" s="18"/>
      <c r="F207" s="18"/>
      <c r="G207" s="301"/>
    </row>
    <row r="208" spans="5:7" ht="15.75" customHeight="1">
      <c r="E208" s="18"/>
      <c r="F208" s="18"/>
      <c r="G208" s="301"/>
    </row>
    <row r="209" spans="5:7" ht="15.75" customHeight="1">
      <c r="E209" s="18"/>
      <c r="F209" s="18"/>
      <c r="G209" s="301"/>
    </row>
    <row r="210" spans="5:7" ht="15.75" customHeight="1">
      <c r="E210" s="18"/>
      <c r="F210" s="18"/>
      <c r="G210" s="301"/>
    </row>
    <row r="211" spans="5:7" ht="15.75" customHeight="1">
      <c r="E211" s="18"/>
      <c r="F211" s="18"/>
      <c r="G211" s="301"/>
    </row>
    <row r="212" spans="5:7" ht="15.75" customHeight="1">
      <c r="E212" s="18"/>
      <c r="F212" s="18"/>
      <c r="G212" s="301"/>
    </row>
    <row r="213" spans="5:7" ht="15.75" customHeight="1">
      <c r="E213" s="18"/>
      <c r="F213" s="18"/>
      <c r="G213" s="301"/>
    </row>
    <row r="214" spans="5:7" ht="15.75" customHeight="1">
      <c r="E214" s="18"/>
      <c r="F214" s="18"/>
      <c r="G214" s="301"/>
    </row>
    <row r="215" spans="5:7" ht="15.75" customHeight="1">
      <c r="E215" s="18"/>
      <c r="F215" s="18"/>
      <c r="G215" s="301"/>
    </row>
    <row r="216" spans="5:7" ht="15.75" customHeight="1">
      <c r="E216" s="18"/>
      <c r="F216" s="18"/>
      <c r="G216" s="301"/>
    </row>
    <row r="217" spans="5:7" ht="15.75" customHeight="1">
      <c r="E217" s="18"/>
      <c r="F217" s="18"/>
      <c r="G217" s="301"/>
    </row>
    <row r="218" spans="5:7" ht="15.75" customHeight="1">
      <c r="E218" s="18"/>
      <c r="F218" s="18"/>
      <c r="G218" s="301"/>
    </row>
    <row r="219" spans="5:7" ht="15.75" customHeight="1">
      <c r="E219" s="18"/>
      <c r="F219" s="18"/>
      <c r="G219" s="301"/>
    </row>
    <row r="220" spans="5:7" ht="15.75" customHeight="1">
      <c r="E220" s="18"/>
      <c r="F220" s="18"/>
      <c r="G220" s="301"/>
    </row>
    <row r="221" spans="5:7" ht="15.75" customHeight="1">
      <c r="E221" s="18"/>
      <c r="F221" s="18"/>
      <c r="G221" s="301"/>
    </row>
    <row r="222" spans="5:7" ht="15.75" customHeight="1">
      <c r="E222" s="18"/>
      <c r="F222" s="18"/>
      <c r="G222" s="301"/>
    </row>
    <row r="223" spans="5:7" ht="15.75" customHeight="1">
      <c r="E223" s="18"/>
      <c r="F223" s="18"/>
      <c r="G223" s="301"/>
    </row>
    <row r="224" spans="5:7" ht="15.75" customHeight="1">
      <c r="E224" s="18"/>
      <c r="F224" s="18"/>
      <c r="G224" s="301"/>
    </row>
    <row r="225" spans="5:7" ht="15.75" customHeight="1">
      <c r="E225" s="18"/>
      <c r="F225" s="18"/>
      <c r="G225" s="301"/>
    </row>
    <row r="226" spans="5:7" ht="15.75" customHeight="1">
      <c r="E226" s="18"/>
      <c r="F226" s="18"/>
      <c r="G226" s="301"/>
    </row>
    <row r="227" spans="5:7" ht="15.75" customHeight="1">
      <c r="E227" s="18"/>
      <c r="F227" s="18"/>
      <c r="G227" s="301"/>
    </row>
    <row r="228" spans="5:7" ht="15.75" customHeight="1">
      <c r="E228" s="18"/>
      <c r="F228" s="18"/>
      <c r="G228" s="301"/>
    </row>
    <row r="229" spans="5:7" ht="15.75" customHeight="1">
      <c r="E229" s="18"/>
      <c r="F229" s="18"/>
      <c r="G229" s="301"/>
    </row>
    <row r="230" spans="5:7" ht="15.75" customHeight="1">
      <c r="E230" s="18"/>
      <c r="F230" s="18"/>
      <c r="G230" s="301"/>
    </row>
    <row r="231" spans="5:7" ht="15.75" customHeight="1">
      <c r="E231" s="18"/>
      <c r="F231" s="18"/>
      <c r="G231" s="301"/>
    </row>
    <row r="232" spans="5:7" ht="15.75" customHeight="1">
      <c r="E232" s="18"/>
      <c r="F232" s="18"/>
      <c r="G232" s="301"/>
    </row>
    <row r="233" spans="5:7" ht="15.75" customHeight="1">
      <c r="E233" s="18"/>
      <c r="F233" s="18"/>
      <c r="G233" s="301"/>
    </row>
    <row r="234" spans="5:7" ht="15.75" customHeight="1">
      <c r="E234" s="18"/>
      <c r="F234" s="18"/>
      <c r="G234" s="301"/>
    </row>
    <row r="235" spans="5:7" ht="15.75" customHeight="1">
      <c r="E235" s="18"/>
      <c r="F235" s="18"/>
      <c r="G235" s="301"/>
    </row>
    <row r="236" spans="5:7" ht="15.75" customHeight="1">
      <c r="E236" s="18"/>
      <c r="F236" s="18"/>
      <c r="G236" s="301"/>
    </row>
    <row r="237" spans="5:7" ht="15.75" customHeight="1">
      <c r="E237" s="18"/>
      <c r="F237" s="18"/>
      <c r="G237" s="301"/>
    </row>
    <row r="238" spans="5:7" ht="15.75" customHeight="1">
      <c r="E238" s="18"/>
      <c r="F238" s="18"/>
      <c r="G238" s="301"/>
    </row>
    <row r="239" spans="5:7" ht="15.75" customHeight="1">
      <c r="E239" s="18"/>
      <c r="F239" s="18"/>
      <c r="G239" s="301"/>
    </row>
    <row r="240" spans="5:7" ht="15.75" customHeight="1">
      <c r="E240" s="18"/>
      <c r="F240" s="18"/>
      <c r="G240" s="301"/>
    </row>
    <row r="241" spans="5:7" ht="15.75" customHeight="1">
      <c r="E241" s="18"/>
      <c r="F241" s="18"/>
      <c r="G241" s="301"/>
    </row>
    <row r="242" spans="5:7" ht="15.75" customHeight="1">
      <c r="E242" s="18"/>
      <c r="F242" s="18"/>
      <c r="G242" s="301"/>
    </row>
    <row r="243" spans="5:7" ht="15.75" customHeight="1">
      <c r="E243" s="18"/>
      <c r="F243" s="18"/>
      <c r="G243" s="301"/>
    </row>
    <row r="244" spans="5:7" ht="15.75" customHeight="1">
      <c r="E244" s="18"/>
      <c r="F244" s="18"/>
      <c r="G244" s="301"/>
    </row>
    <row r="245" spans="5:7" ht="15.75" customHeight="1">
      <c r="E245" s="18"/>
      <c r="F245" s="18"/>
      <c r="G245" s="301"/>
    </row>
    <row r="246" spans="5:7" ht="15.75" customHeight="1">
      <c r="E246" s="18"/>
      <c r="F246" s="18"/>
      <c r="G246" s="301"/>
    </row>
    <row r="247" spans="5:7" ht="15.75" customHeight="1">
      <c r="E247" s="18"/>
      <c r="F247" s="18"/>
      <c r="G247" s="301"/>
    </row>
    <row r="248" spans="5:7" ht="15.75" customHeight="1">
      <c r="E248" s="18"/>
      <c r="F248" s="18"/>
      <c r="G248" s="301"/>
    </row>
    <row r="249" spans="5:7" ht="15.75" customHeight="1">
      <c r="E249" s="18"/>
      <c r="F249" s="18"/>
      <c r="G249" s="301"/>
    </row>
    <row r="250" spans="5:7" ht="15.75" customHeight="1">
      <c r="E250" s="18"/>
      <c r="F250" s="18"/>
      <c r="G250" s="301"/>
    </row>
    <row r="251" spans="5:7" ht="15.75" customHeight="1">
      <c r="E251" s="18"/>
      <c r="F251" s="18"/>
      <c r="G251" s="301"/>
    </row>
    <row r="252" spans="5:7" ht="15.75" customHeight="1">
      <c r="E252" s="18"/>
      <c r="F252" s="18"/>
      <c r="G252" s="301"/>
    </row>
    <row r="253" spans="5:7" ht="15.75" customHeight="1">
      <c r="E253" s="18"/>
      <c r="F253" s="18"/>
      <c r="G253" s="301"/>
    </row>
    <row r="254" spans="5:7" ht="15.75" customHeight="1">
      <c r="E254" s="18"/>
      <c r="F254" s="18"/>
      <c r="G254" s="301"/>
    </row>
    <row r="255" spans="5:7" ht="15.75" customHeight="1">
      <c r="E255" s="18"/>
      <c r="F255" s="18"/>
      <c r="G255" s="301"/>
    </row>
    <row r="256" spans="5:7" ht="15.75" customHeight="1">
      <c r="E256" s="18"/>
      <c r="F256" s="18"/>
      <c r="G256" s="301"/>
    </row>
    <row r="257" spans="5:7" ht="15.75" customHeight="1">
      <c r="E257" s="18"/>
      <c r="F257" s="18"/>
      <c r="G257" s="301"/>
    </row>
    <row r="258" spans="5:7" ht="15.75" customHeight="1">
      <c r="E258" s="18"/>
      <c r="F258" s="18"/>
      <c r="G258" s="301"/>
    </row>
    <row r="259" spans="5:7" ht="15.75" customHeight="1">
      <c r="E259" s="18"/>
      <c r="F259" s="18"/>
      <c r="G259" s="301"/>
    </row>
    <row r="260" spans="5:7" ht="15.75" customHeight="1">
      <c r="E260" s="18"/>
      <c r="F260" s="18"/>
      <c r="G260" s="301"/>
    </row>
    <row r="261" spans="5:7" ht="15.75" customHeight="1">
      <c r="E261" s="18"/>
      <c r="F261" s="18"/>
      <c r="G261" s="301"/>
    </row>
    <row r="262" spans="5:7" ht="15.75" customHeight="1">
      <c r="E262" s="18"/>
      <c r="F262" s="18"/>
      <c r="G262" s="301"/>
    </row>
    <row r="263" spans="5:7" ht="15.75" customHeight="1">
      <c r="E263" s="18"/>
      <c r="F263" s="18"/>
      <c r="G263" s="301"/>
    </row>
    <row r="264" spans="5:7" ht="15.75" customHeight="1">
      <c r="E264" s="18"/>
      <c r="F264" s="18"/>
      <c r="G264" s="301"/>
    </row>
    <row r="265" spans="5:7" ht="15.75" customHeight="1">
      <c r="E265" s="18"/>
      <c r="F265" s="18"/>
      <c r="G265" s="301"/>
    </row>
    <row r="266" spans="5:7" ht="15.75" customHeight="1">
      <c r="E266" s="18"/>
      <c r="F266" s="18"/>
      <c r="G266" s="301"/>
    </row>
    <row r="267" spans="5:7" ht="15.75" customHeight="1">
      <c r="E267" s="18"/>
      <c r="F267" s="18"/>
      <c r="G267" s="301"/>
    </row>
    <row r="268" spans="5:7" ht="15.75" customHeight="1">
      <c r="E268" s="18"/>
      <c r="F268" s="18"/>
      <c r="G268" s="301"/>
    </row>
    <row r="269" spans="5:7" ht="15.75" customHeight="1">
      <c r="E269" s="18"/>
      <c r="F269" s="18"/>
      <c r="G269" s="301"/>
    </row>
    <row r="270" spans="5:7" ht="15.75" customHeight="1">
      <c r="E270" s="18"/>
      <c r="F270" s="18"/>
      <c r="G270" s="301"/>
    </row>
    <row r="271" spans="5:7" ht="15.75" customHeight="1">
      <c r="E271" s="18"/>
      <c r="F271" s="18"/>
      <c r="G271" s="301"/>
    </row>
    <row r="272" spans="5:7" ht="15.75" customHeight="1">
      <c r="E272" s="18"/>
      <c r="F272" s="18"/>
      <c r="G272" s="301"/>
    </row>
    <row r="273" spans="5:7" ht="15.75" customHeight="1">
      <c r="E273" s="18"/>
      <c r="F273" s="18"/>
      <c r="G273" s="301"/>
    </row>
    <row r="274" spans="5:7" ht="15.75" customHeight="1">
      <c r="E274" s="18"/>
      <c r="F274" s="18"/>
      <c r="G274" s="301"/>
    </row>
    <row r="275" spans="5:7" ht="15.75" customHeight="1">
      <c r="E275" s="18"/>
      <c r="F275" s="18"/>
      <c r="G275" s="301"/>
    </row>
    <row r="276" spans="5:7" ht="15.75" customHeight="1">
      <c r="E276" s="18"/>
      <c r="F276" s="18"/>
      <c r="G276" s="301"/>
    </row>
    <row r="277" spans="5:7" ht="15.75" customHeight="1">
      <c r="E277" s="18"/>
      <c r="F277" s="18"/>
      <c r="G277" s="301"/>
    </row>
    <row r="278" spans="5:7" ht="15.75" customHeight="1">
      <c r="E278" s="18"/>
      <c r="F278" s="18"/>
      <c r="G278" s="301"/>
    </row>
    <row r="279" spans="5:7" ht="15.75" customHeight="1">
      <c r="E279" s="18"/>
      <c r="F279" s="18"/>
      <c r="G279" s="301"/>
    </row>
    <row r="280" spans="5:7" ht="15.75" customHeight="1">
      <c r="E280" s="18"/>
      <c r="F280" s="18"/>
      <c r="G280" s="301"/>
    </row>
    <row r="281" spans="5:7" ht="15.75" customHeight="1">
      <c r="E281" s="18"/>
      <c r="F281" s="18"/>
      <c r="G281" s="301"/>
    </row>
    <row r="282" spans="5:7" ht="15.75" customHeight="1">
      <c r="E282" s="18"/>
      <c r="F282" s="18"/>
      <c r="G282" s="301"/>
    </row>
    <row r="283" spans="5:7" ht="15.75" customHeight="1">
      <c r="E283" s="18"/>
      <c r="F283" s="18"/>
      <c r="G283" s="301"/>
    </row>
    <row r="284" spans="5:7" ht="15.75" customHeight="1">
      <c r="E284" s="18"/>
      <c r="F284" s="18"/>
      <c r="G284" s="301"/>
    </row>
    <row r="285" spans="5:7" ht="15.75" customHeight="1">
      <c r="E285" s="18"/>
      <c r="F285" s="18"/>
      <c r="G285" s="301"/>
    </row>
    <row r="286" spans="5:7" ht="15.75" customHeight="1">
      <c r="E286" s="18"/>
      <c r="F286" s="18"/>
      <c r="G286" s="301"/>
    </row>
    <row r="287" spans="5:7" ht="15.75" customHeight="1">
      <c r="E287" s="18"/>
      <c r="F287" s="18"/>
      <c r="G287" s="301"/>
    </row>
    <row r="288" spans="5:7" ht="15.75" customHeight="1">
      <c r="E288" s="18"/>
      <c r="F288" s="18"/>
      <c r="G288" s="301"/>
    </row>
    <row r="289" spans="5:7" ht="15.75" customHeight="1">
      <c r="E289" s="18"/>
      <c r="F289" s="18"/>
      <c r="G289" s="301"/>
    </row>
    <row r="290" spans="5:7" ht="15.75" customHeight="1">
      <c r="E290" s="18"/>
      <c r="F290" s="18"/>
      <c r="G290" s="301"/>
    </row>
    <row r="291" spans="5:7" ht="15.75" customHeight="1">
      <c r="E291" s="18"/>
      <c r="F291" s="18"/>
      <c r="G291" s="301"/>
    </row>
    <row r="292" spans="5:7" ht="15.75" customHeight="1">
      <c r="E292" s="18"/>
      <c r="F292" s="18"/>
      <c r="G292" s="301"/>
    </row>
    <row r="293" spans="5:7" ht="15.75" customHeight="1">
      <c r="E293" s="18"/>
      <c r="F293" s="18"/>
      <c r="G293" s="301"/>
    </row>
    <row r="294" spans="5:7" ht="15.75" customHeight="1">
      <c r="E294" s="18"/>
      <c r="F294" s="18"/>
      <c r="G294" s="301"/>
    </row>
    <row r="295" spans="5:7" ht="15.75" customHeight="1">
      <c r="E295" s="18"/>
      <c r="F295" s="18"/>
      <c r="G295" s="301"/>
    </row>
    <row r="296" spans="5:7" ht="15.75" customHeight="1">
      <c r="E296" s="18"/>
      <c r="F296" s="18"/>
      <c r="G296" s="301"/>
    </row>
    <row r="297" spans="5:7" ht="15.75" customHeight="1">
      <c r="E297" s="18"/>
      <c r="F297" s="18"/>
      <c r="G297" s="301"/>
    </row>
    <row r="298" spans="5:7" ht="15.75" customHeight="1">
      <c r="E298" s="18"/>
      <c r="F298" s="18"/>
      <c r="G298" s="301"/>
    </row>
    <row r="299" spans="5:7" ht="15.75" customHeight="1">
      <c r="E299" s="18"/>
      <c r="F299" s="18"/>
      <c r="G299" s="301"/>
    </row>
    <row r="300" spans="5:7" ht="15.75" customHeight="1">
      <c r="E300" s="18"/>
      <c r="F300" s="18"/>
      <c r="G300" s="301"/>
    </row>
    <row r="301" spans="5:7" ht="15.75" customHeight="1">
      <c r="E301" s="18"/>
      <c r="F301" s="18"/>
      <c r="G301" s="301"/>
    </row>
    <row r="302" spans="5:7" ht="15.75" customHeight="1">
      <c r="E302" s="18"/>
      <c r="F302" s="18"/>
      <c r="G302" s="301"/>
    </row>
    <row r="303" spans="5:7" ht="15.75" customHeight="1">
      <c r="E303" s="18"/>
      <c r="F303" s="18"/>
      <c r="G303" s="301"/>
    </row>
    <row r="304" spans="5:7" ht="15.75" customHeight="1">
      <c r="E304" s="18"/>
      <c r="F304" s="18"/>
      <c r="G304" s="301"/>
    </row>
    <row r="305" spans="5:7" ht="15.75" customHeight="1">
      <c r="E305" s="18"/>
      <c r="F305" s="18"/>
      <c r="G305" s="301"/>
    </row>
    <row r="306" spans="5:7" ht="15.75" customHeight="1">
      <c r="E306" s="18"/>
      <c r="F306" s="18"/>
      <c r="G306" s="301"/>
    </row>
    <row r="307" spans="5:7" ht="15.75" customHeight="1">
      <c r="E307" s="18"/>
      <c r="F307" s="18"/>
      <c r="G307" s="301"/>
    </row>
    <row r="308" spans="5:7" ht="15.75" customHeight="1">
      <c r="E308" s="18"/>
      <c r="F308" s="18"/>
      <c r="G308" s="301"/>
    </row>
    <row r="309" spans="5:7" ht="15.75" customHeight="1">
      <c r="E309" s="18"/>
      <c r="F309" s="18"/>
      <c r="G309" s="301"/>
    </row>
    <row r="310" spans="5:7" ht="15.75" customHeight="1">
      <c r="E310" s="18"/>
      <c r="F310" s="18"/>
      <c r="G310" s="301"/>
    </row>
    <row r="311" spans="5:7" ht="15.75" customHeight="1">
      <c r="E311" s="18"/>
      <c r="F311" s="18"/>
      <c r="G311" s="301"/>
    </row>
    <row r="312" spans="5:7" ht="15.75" customHeight="1">
      <c r="E312" s="18"/>
      <c r="F312" s="18"/>
      <c r="G312" s="301"/>
    </row>
    <row r="313" spans="5:7" ht="15.75" customHeight="1">
      <c r="E313" s="18"/>
      <c r="F313" s="18"/>
      <c r="G313" s="301"/>
    </row>
    <row r="314" spans="5:7" ht="15.75" customHeight="1">
      <c r="E314" s="18"/>
      <c r="F314" s="18"/>
      <c r="G314" s="301"/>
    </row>
    <row r="315" spans="5:7" ht="15.75" customHeight="1">
      <c r="E315" s="18"/>
      <c r="F315" s="18"/>
      <c r="G315" s="301"/>
    </row>
    <row r="316" spans="5:7" ht="15.75" customHeight="1">
      <c r="E316" s="18"/>
      <c r="F316" s="18"/>
      <c r="G316" s="301"/>
    </row>
    <row r="317" spans="5:7" ht="15.75" customHeight="1">
      <c r="E317" s="18"/>
      <c r="F317" s="18"/>
      <c r="G317" s="301"/>
    </row>
    <row r="318" spans="5:7" ht="15.75" customHeight="1">
      <c r="E318" s="18"/>
      <c r="F318" s="18"/>
      <c r="G318" s="301"/>
    </row>
    <row r="319" spans="5:7" ht="15.75" customHeight="1">
      <c r="E319" s="18"/>
      <c r="F319" s="18"/>
      <c r="G319" s="301"/>
    </row>
    <row r="320" spans="5:7" ht="15.75" customHeight="1">
      <c r="E320" s="18"/>
      <c r="F320" s="18"/>
      <c r="G320" s="301"/>
    </row>
    <row r="321" spans="5:7" ht="15.75" customHeight="1">
      <c r="E321" s="18"/>
      <c r="F321" s="18"/>
      <c r="G321" s="301"/>
    </row>
    <row r="322" spans="5:7" ht="15.75" customHeight="1">
      <c r="E322" s="18"/>
      <c r="F322" s="18"/>
      <c r="G322" s="301"/>
    </row>
    <row r="323" spans="5:7" ht="15.75" customHeight="1">
      <c r="E323" s="18"/>
      <c r="F323" s="18"/>
      <c r="G323" s="301"/>
    </row>
    <row r="324" spans="5:7" ht="15.75" customHeight="1">
      <c r="E324" s="18"/>
      <c r="F324" s="18"/>
      <c r="G324" s="301"/>
    </row>
    <row r="325" spans="5:7" ht="15.75" customHeight="1">
      <c r="E325" s="18"/>
      <c r="F325" s="18"/>
      <c r="G325" s="301"/>
    </row>
    <row r="326" spans="5:7" ht="15.75" customHeight="1">
      <c r="E326" s="18"/>
      <c r="F326" s="18"/>
      <c r="G326" s="301"/>
    </row>
    <row r="327" spans="5:7" ht="15.75" customHeight="1">
      <c r="E327" s="18"/>
      <c r="F327" s="18"/>
      <c r="G327" s="301"/>
    </row>
    <row r="328" spans="5:7" ht="15.75" customHeight="1">
      <c r="E328" s="18"/>
      <c r="F328" s="18"/>
      <c r="G328" s="301"/>
    </row>
    <row r="329" spans="5:7" ht="15.75" customHeight="1">
      <c r="E329" s="18"/>
      <c r="F329" s="18"/>
      <c r="G329" s="301"/>
    </row>
    <row r="330" spans="5:7" ht="15.75" customHeight="1">
      <c r="E330" s="18"/>
      <c r="F330" s="18"/>
      <c r="G330" s="301"/>
    </row>
    <row r="331" spans="5:7" ht="15.75" customHeight="1">
      <c r="E331" s="18"/>
      <c r="F331" s="18"/>
      <c r="G331" s="301"/>
    </row>
    <row r="332" spans="5:7" ht="15.75" customHeight="1">
      <c r="E332" s="18"/>
      <c r="F332" s="18"/>
      <c r="G332" s="301"/>
    </row>
    <row r="333" spans="5:7" ht="15.75" customHeight="1">
      <c r="E333" s="18"/>
      <c r="F333" s="18"/>
      <c r="G333" s="301"/>
    </row>
    <row r="334" spans="5:7" ht="15.75" customHeight="1">
      <c r="E334" s="18"/>
      <c r="F334" s="18"/>
      <c r="G334" s="301"/>
    </row>
    <row r="335" spans="5:7" ht="15.75" customHeight="1">
      <c r="E335" s="18"/>
      <c r="F335" s="18"/>
      <c r="G335" s="301"/>
    </row>
    <row r="336" spans="5:7" ht="15.75" customHeight="1">
      <c r="E336" s="18"/>
      <c r="F336" s="18"/>
      <c r="G336" s="301"/>
    </row>
    <row r="337" spans="5:7" ht="15.75" customHeight="1">
      <c r="E337" s="18"/>
      <c r="F337" s="18"/>
      <c r="G337" s="301"/>
    </row>
    <row r="338" spans="5:7" ht="15.75" customHeight="1">
      <c r="E338" s="18"/>
      <c r="F338" s="18"/>
      <c r="G338" s="301"/>
    </row>
    <row r="339" spans="5:7" ht="15.75" customHeight="1">
      <c r="E339" s="18"/>
      <c r="F339" s="18"/>
      <c r="G339" s="301"/>
    </row>
    <row r="340" spans="5:7" ht="15.75" customHeight="1">
      <c r="E340" s="18"/>
      <c r="F340" s="18"/>
      <c r="G340" s="301"/>
    </row>
    <row r="341" spans="5:7" ht="15.75" customHeight="1">
      <c r="E341" s="18"/>
      <c r="F341" s="18"/>
      <c r="G341" s="301"/>
    </row>
    <row r="342" spans="5:7" ht="15.75" customHeight="1">
      <c r="E342" s="18"/>
      <c r="F342" s="18"/>
      <c r="G342" s="301"/>
    </row>
    <row r="343" spans="5:7" ht="15.75" customHeight="1">
      <c r="E343" s="18"/>
      <c r="F343" s="18"/>
      <c r="G343" s="301"/>
    </row>
    <row r="344" spans="5:7" ht="15.75" customHeight="1">
      <c r="E344" s="18"/>
      <c r="F344" s="18"/>
      <c r="G344" s="301"/>
    </row>
    <row r="345" spans="5:7" ht="15.75" customHeight="1">
      <c r="E345" s="18"/>
      <c r="F345" s="18"/>
      <c r="G345" s="301"/>
    </row>
    <row r="346" spans="5:7" ht="15.75" customHeight="1">
      <c r="E346" s="18"/>
      <c r="F346" s="18"/>
      <c r="G346" s="301"/>
    </row>
    <row r="347" spans="5:7" ht="15.75" customHeight="1">
      <c r="E347" s="18"/>
      <c r="F347" s="18"/>
      <c r="G347" s="301"/>
    </row>
    <row r="348" spans="5:7" ht="15.75" customHeight="1">
      <c r="E348" s="18"/>
      <c r="F348" s="18"/>
      <c r="G348" s="301"/>
    </row>
    <row r="349" spans="5:7" ht="15.75" customHeight="1">
      <c r="E349" s="18"/>
      <c r="F349" s="18"/>
      <c r="G349" s="301"/>
    </row>
    <row r="350" spans="5:7" ht="15.75" customHeight="1">
      <c r="E350" s="18"/>
      <c r="F350" s="18"/>
      <c r="G350" s="301"/>
    </row>
    <row r="351" spans="5:7" ht="15.75" customHeight="1">
      <c r="E351" s="18"/>
      <c r="F351" s="18"/>
      <c r="G351" s="301"/>
    </row>
    <row r="352" spans="5:7" ht="15.75" customHeight="1">
      <c r="E352" s="18"/>
      <c r="F352" s="18"/>
      <c r="G352" s="301"/>
    </row>
    <row r="353" spans="5:7" ht="15.75" customHeight="1">
      <c r="E353" s="18"/>
      <c r="F353" s="18"/>
      <c r="G353" s="301"/>
    </row>
    <row r="354" spans="5:7" ht="15.75" customHeight="1">
      <c r="E354" s="18"/>
      <c r="F354" s="18"/>
      <c r="G354" s="301"/>
    </row>
    <row r="355" spans="5:7" ht="15.75" customHeight="1">
      <c r="E355" s="18"/>
      <c r="F355" s="18"/>
      <c r="G355" s="301"/>
    </row>
    <row r="356" spans="5:7" ht="15.75" customHeight="1">
      <c r="E356" s="18"/>
      <c r="F356" s="18"/>
      <c r="G356" s="301"/>
    </row>
    <row r="357" spans="5:7" ht="15.75" customHeight="1">
      <c r="E357" s="18"/>
      <c r="F357" s="18"/>
      <c r="G357" s="301"/>
    </row>
    <row r="358" spans="5:7" ht="15.75" customHeight="1">
      <c r="E358" s="18"/>
      <c r="F358" s="18"/>
      <c r="G358" s="301"/>
    </row>
    <row r="359" spans="5:7" ht="15.75" customHeight="1">
      <c r="E359" s="18"/>
      <c r="F359" s="18"/>
      <c r="G359" s="301"/>
    </row>
    <row r="360" spans="5:7" ht="15.75" customHeight="1">
      <c r="E360" s="18"/>
      <c r="F360" s="18"/>
      <c r="G360" s="301"/>
    </row>
    <row r="361" spans="5:7" ht="15.75" customHeight="1">
      <c r="E361" s="18"/>
      <c r="F361" s="18"/>
      <c r="G361" s="301"/>
    </row>
    <row r="362" spans="5:7" ht="15.75" customHeight="1">
      <c r="E362" s="18"/>
      <c r="F362" s="18"/>
      <c r="G362" s="301"/>
    </row>
    <row r="363" spans="5:7" ht="15.75" customHeight="1">
      <c r="E363" s="18"/>
      <c r="F363" s="18"/>
      <c r="G363" s="301"/>
    </row>
    <row r="364" spans="5:7" ht="15.75" customHeight="1">
      <c r="E364" s="18"/>
      <c r="F364" s="18"/>
      <c r="G364" s="301"/>
    </row>
    <row r="365" spans="5:7" ht="15.75" customHeight="1">
      <c r="E365" s="18"/>
      <c r="F365" s="18"/>
      <c r="G365" s="301"/>
    </row>
    <row r="366" spans="5:7" ht="15.75" customHeight="1">
      <c r="E366" s="18"/>
      <c r="F366" s="18"/>
      <c r="G366" s="301"/>
    </row>
    <row r="367" spans="5:7" ht="15.75" customHeight="1">
      <c r="E367" s="18"/>
      <c r="F367" s="18"/>
      <c r="G367" s="301"/>
    </row>
    <row r="368" spans="5:7" ht="15.75" customHeight="1">
      <c r="E368" s="18"/>
      <c r="F368" s="18"/>
      <c r="G368" s="301"/>
    </row>
    <row r="369" spans="5:7" ht="15.75" customHeight="1">
      <c r="E369" s="18"/>
      <c r="F369" s="18"/>
      <c r="G369" s="301"/>
    </row>
    <row r="370" spans="5:7" ht="15.75" customHeight="1">
      <c r="E370" s="18"/>
      <c r="F370" s="18"/>
      <c r="G370" s="301"/>
    </row>
    <row r="371" spans="5:7" ht="15.75" customHeight="1">
      <c r="E371" s="18"/>
      <c r="F371" s="18"/>
      <c r="G371" s="301"/>
    </row>
    <row r="372" spans="5:7" ht="15.75" customHeight="1">
      <c r="E372" s="18"/>
      <c r="F372" s="18"/>
      <c r="G372" s="301"/>
    </row>
    <row r="373" spans="5:7" ht="15.75" customHeight="1">
      <c r="E373" s="18"/>
      <c r="F373" s="18"/>
      <c r="G373" s="301"/>
    </row>
    <row r="374" spans="5:7" ht="15.75" customHeight="1">
      <c r="E374" s="18"/>
      <c r="F374" s="18"/>
      <c r="G374" s="301"/>
    </row>
    <row r="375" spans="5:7" ht="15.75" customHeight="1">
      <c r="E375" s="18"/>
      <c r="F375" s="18"/>
      <c r="G375" s="301"/>
    </row>
    <row r="376" spans="5:7" ht="15.75" customHeight="1">
      <c r="E376" s="18"/>
      <c r="F376" s="18"/>
      <c r="G376" s="301"/>
    </row>
    <row r="377" spans="5:7" ht="15.75" customHeight="1">
      <c r="E377" s="18"/>
      <c r="F377" s="18"/>
      <c r="G377" s="301"/>
    </row>
    <row r="378" spans="5:7" ht="15.75" customHeight="1">
      <c r="E378" s="18"/>
      <c r="F378" s="18"/>
      <c r="G378" s="301"/>
    </row>
    <row r="379" spans="5:7" ht="15.75" customHeight="1">
      <c r="E379" s="18"/>
      <c r="F379" s="18"/>
      <c r="G379" s="301"/>
    </row>
    <row r="380" spans="5:7" ht="15.75" customHeight="1">
      <c r="E380" s="18"/>
      <c r="F380" s="18"/>
      <c r="G380" s="301"/>
    </row>
    <row r="381" spans="5:7" ht="15.75" customHeight="1">
      <c r="E381" s="18"/>
      <c r="F381" s="18"/>
      <c r="G381" s="301"/>
    </row>
    <row r="382" spans="5:7" ht="15.75" customHeight="1">
      <c r="E382" s="18"/>
      <c r="F382" s="18"/>
      <c r="G382" s="301"/>
    </row>
    <row r="383" spans="5:7" ht="15.75" customHeight="1">
      <c r="E383" s="18"/>
      <c r="F383" s="18"/>
      <c r="G383" s="301"/>
    </row>
    <row r="384" spans="5:7" ht="15.75" customHeight="1">
      <c r="E384" s="18"/>
      <c r="F384" s="18"/>
      <c r="G384" s="301"/>
    </row>
    <row r="385" spans="5:7" ht="15.75" customHeight="1">
      <c r="E385" s="18"/>
      <c r="F385" s="18"/>
      <c r="G385" s="301"/>
    </row>
    <row r="386" spans="5:7" ht="15.75" customHeight="1">
      <c r="E386" s="18"/>
      <c r="F386" s="18"/>
      <c r="G386" s="301"/>
    </row>
    <row r="387" spans="5:7" ht="15.75" customHeight="1">
      <c r="E387" s="18"/>
      <c r="F387" s="18"/>
      <c r="G387" s="301"/>
    </row>
    <row r="388" spans="5:7" ht="15.75" customHeight="1">
      <c r="E388" s="18"/>
      <c r="F388" s="18"/>
      <c r="G388" s="301"/>
    </row>
    <row r="389" spans="5:7" ht="15.75" customHeight="1">
      <c r="E389" s="18"/>
      <c r="F389" s="18"/>
      <c r="G389" s="301"/>
    </row>
    <row r="390" spans="5:7" ht="15.75" customHeight="1">
      <c r="E390" s="18"/>
      <c r="F390" s="18"/>
      <c r="G390" s="301"/>
    </row>
    <row r="391" spans="5:7" ht="15.75" customHeight="1">
      <c r="E391" s="18"/>
      <c r="F391" s="18"/>
      <c r="G391" s="301"/>
    </row>
    <row r="392" spans="5:7" ht="15.75" customHeight="1">
      <c r="E392" s="18"/>
      <c r="F392" s="18"/>
      <c r="G392" s="301"/>
    </row>
    <row r="393" spans="5:7" ht="15.75" customHeight="1">
      <c r="E393" s="18"/>
      <c r="F393" s="18"/>
      <c r="G393" s="301"/>
    </row>
    <row r="394" spans="5:7" ht="15.75" customHeight="1">
      <c r="E394" s="18"/>
      <c r="F394" s="18"/>
      <c r="G394" s="301"/>
    </row>
    <row r="395" spans="5:7" ht="15.75" customHeight="1">
      <c r="E395" s="18"/>
      <c r="F395" s="18"/>
      <c r="G395" s="301"/>
    </row>
    <row r="396" spans="5:7" ht="15.75" customHeight="1">
      <c r="E396" s="18"/>
      <c r="F396" s="18"/>
      <c r="G396" s="301"/>
    </row>
    <row r="397" spans="5:7" ht="15.75" customHeight="1">
      <c r="E397" s="18"/>
      <c r="F397" s="18"/>
      <c r="G397" s="301"/>
    </row>
    <row r="398" spans="5:7" ht="15.75" customHeight="1">
      <c r="E398" s="18"/>
      <c r="F398" s="18"/>
      <c r="G398" s="301"/>
    </row>
    <row r="399" spans="5:7" ht="15.75" customHeight="1">
      <c r="E399" s="18"/>
      <c r="F399" s="18"/>
      <c r="G399" s="301"/>
    </row>
    <row r="400" spans="5:7" ht="15.75" customHeight="1">
      <c r="E400" s="18"/>
      <c r="F400" s="18"/>
      <c r="G400" s="301"/>
    </row>
    <row r="401" spans="5:7" ht="15.75" customHeight="1">
      <c r="E401" s="18"/>
      <c r="F401" s="18"/>
      <c r="G401" s="301"/>
    </row>
    <row r="402" spans="5:7" ht="15.75" customHeight="1">
      <c r="E402" s="18"/>
      <c r="F402" s="18"/>
      <c r="G402" s="301"/>
    </row>
    <row r="403" spans="5:7" ht="15.75" customHeight="1">
      <c r="E403" s="18"/>
      <c r="F403" s="18"/>
      <c r="G403" s="301"/>
    </row>
    <row r="404" spans="5:7" ht="15.75" customHeight="1">
      <c r="E404" s="18"/>
      <c r="F404" s="18"/>
      <c r="G404" s="301"/>
    </row>
    <row r="405" spans="5:7" ht="15.75" customHeight="1">
      <c r="E405" s="18"/>
      <c r="F405" s="18"/>
      <c r="G405" s="301"/>
    </row>
    <row r="406" spans="5:7" ht="15.75" customHeight="1">
      <c r="E406" s="18"/>
      <c r="F406" s="18"/>
      <c r="G406" s="301"/>
    </row>
    <row r="407" spans="5:7" ht="15.75" customHeight="1">
      <c r="E407" s="18"/>
      <c r="F407" s="18"/>
      <c r="G407" s="301"/>
    </row>
    <row r="408" spans="5:7" ht="15.75" customHeight="1">
      <c r="E408" s="18"/>
      <c r="F408" s="18"/>
      <c r="G408" s="301"/>
    </row>
    <row r="409" spans="5:7" ht="15.75" customHeight="1">
      <c r="E409" s="18"/>
      <c r="F409" s="18"/>
      <c r="G409" s="301"/>
    </row>
    <row r="410" spans="5:7" ht="15.75" customHeight="1">
      <c r="E410" s="18"/>
      <c r="F410" s="18"/>
      <c r="G410" s="301"/>
    </row>
    <row r="411" spans="5:7" ht="15.75" customHeight="1">
      <c r="E411" s="18"/>
      <c r="F411" s="18"/>
      <c r="G411" s="301"/>
    </row>
    <row r="412" spans="5:7" ht="15.75" customHeight="1">
      <c r="E412" s="18"/>
      <c r="F412" s="18"/>
      <c r="G412" s="301"/>
    </row>
    <row r="413" spans="5:7" ht="15.75" customHeight="1">
      <c r="E413" s="18"/>
      <c r="F413" s="18"/>
      <c r="G413" s="301"/>
    </row>
    <row r="414" spans="5:7" ht="15.75" customHeight="1">
      <c r="E414" s="18"/>
      <c r="F414" s="18"/>
      <c r="G414" s="301"/>
    </row>
    <row r="415" spans="5:7" ht="15.75" customHeight="1">
      <c r="E415" s="18"/>
      <c r="F415" s="18"/>
      <c r="G415" s="301"/>
    </row>
    <row r="416" spans="5:7" ht="15.75" customHeight="1">
      <c r="E416" s="18"/>
      <c r="F416" s="18"/>
      <c r="G416" s="301"/>
    </row>
    <row r="417" spans="5:7" ht="15.75" customHeight="1">
      <c r="E417" s="18"/>
      <c r="F417" s="18"/>
      <c r="G417" s="301"/>
    </row>
    <row r="418" spans="5:7" ht="15.75" customHeight="1">
      <c r="E418" s="18"/>
      <c r="F418" s="18"/>
      <c r="G418" s="301"/>
    </row>
    <row r="419" spans="5:7" ht="15.75" customHeight="1">
      <c r="E419" s="18"/>
      <c r="F419" s="18"/>
      <c r="G419" s="301"/>
    </row>
    <row r="420" spans="5:7" ht="15.75" customHeight="1">
      <c r="E420" s="18"/>
      <c r="F420" s="18"/>
      <c r="G420" s="301"/>
    </row>
    <row r="421" spans="5:7" ht="15.75" customHeight="1">
      <c r="E421" s="18"/>
      <c r="F421" s="18"/>
      <c r="G421" s="301"/>
    </row>
    <row r="422" spans="5:7" ht="15.75" customHeight="1">
      <c r="E422" s="18"/>
      <c r="F422" s="18"/>
      <c r="G422" s="301"/>
    </row>
    <row r="423" spans="5:7" ht="15.75" customHeight="1">
      <c r="E423" s="18"/>
      <c r="F423" s="18"/>
      <c r="G423" s="301"/>
    </row>
    <row r="424" spans="5:7" ht="15.75" customHeight="1">
      <c r="E424" s="18"/>
      <c r="F424" s="18"/>
      <c r="G424" s="301"/>
    </row>
    <row r="425" spans="5:7" ht="15.75" customHeight="1">
      <c r="E425" s="18"/>
      <c r="F425" s="18"/>
      <c r="G425" s="301"/>
    </row>
    <row r="426" spans="5:7" ht="15.75" customHeight="1">
      <c r="E426" s="18"/>
      <c r="F426" s="18"/>
      <c r="G426" s="301"/>
    </row>
    <row r="427" spans="5:7" ht="15.75" customHeight="1">
      <c r="E427" s="18"/>
      <c r="F427" s="18"/>
      <c r="G427" s="301"/>
    </row>
    <row r="428" spans="5:7" ht="15.75" customHeight="1">
      <c r="E428" s="18"/>
      <c r="F428" s="18"/>
      <c r="G428" s="301"/>
    </row>
    <row r="429" spans="5:7" ht="15.75" customHeight="1">
      <c r="E429" s="18"/>
      <c r="F429" s="18"/>
      <c r="G429" s="301"/>
    </row>
    <row r="430" spans="5:7" ht="15.75" customHeight="1">
      <c r="E430" s="18"/>
      <c r="F430" s="18"/>
      <c r="G430" s="301"/>
    </row>
    <row r="431" spans="5:7" ht="15.75" customHeight="1">
      <c r="E431" s="18"/>
      <c r="F431" s="18"/>
      <c r="G431" s="301"/>
    </row>
    <row r="432" spans="5:7" ht="15.75" customHeight="1">
      <c r="E432" s="18"/>
      <c r="F432" s="18"/>
      <c r="G432" s="301"/>
    </row>
    <row r="433" spans="5:7" ht="15.75" customHeight="1">
      <c r="E433" s="18"/>
      <c r="F433" s="18"/>
      <c r="G433" s="301"/>
    </row>
    <row r="434" spans="5:7" ht="15.75" customHeight="1">
      <c r="E434" s="18"/>
      <c r="F434" s="18"/>
      <c r="G434" s="301"/>
    </row>
    <row r="435" spans="5:7" ht="15.75" customHeight="1">
      <c r="E435" s="18"/>
      <c r="F435" s="18"/>
      <c r="G435" s="301"/>
    </row>
    <row r="436" spans="5:7" ht="15.75" customHeight="1">
      <c r="E436" s="18"/>
      <c r="F436" s="18"/>
      <c r="G436" s="301"/>
    </row>
    <row r="437" spans="5:7" ht="15.75" customHeight="1">
      <c r="E437" s="18"/>
      <c r="F437" s="18"/>
      <c r="G437" s="301"/>
    </row>
    <row r="438" spans="5:7" ht="15.75" customHeight="1">
      <c r="E438" s="18"/>
      <c r="F438" s="18"/>
      <c r="G438" s="301"/>
    </row>
    <row r="439" spans="5:7" ht="15.75" customHeight="1">
      <c r="E439" s="18"/>
      <c r="F439" s="18"/>
      <c r="G439" s="301"/>
    </row>
    <row r="440" spans="5:7" ht="15.75" customHeight="1">
      <c r="E440" s="18"/>
      <c r="F440" s="18"/>
      <c r="G440" s="301"/>
    </row>
    <row r="441" spans="5:7" ht="15.75" customHeight="1">
      <c r="E441" s="18"/>
      <c r="F441" s="18"/>
      <c r="G441" s="301"/>
    </row>
    <row r="442" spans="5:7" ht="15.75" customHeight="1">
      <c r="E442" s="18"/>
      <c r="F442" s="18"/>
      <c r="G442" s="301"/>
    </row>
    <row r="443" spans="5:7" ht="15.75" customHeight="1">
      <c r="E443" s="18"/>
      <c r="F443" s="18"/>
      <c r="G443" s="301"/>
    </row>
    <row r="444" spans="5:7" ht="15.75" customHeight="1">
      <c r="E444" s="18"/>
      <c r="F444" s="18"/>
      <c r="G444" s="301"/>
    </row>
    <row r="445" spans="5:7" ht="15.75" customHeight="1">
      <c r="E445" s="18"/>
      <c r="F445" s="18"/>
      <c r="G445" s="301"/>
    </row>
    <row r="446" spans="5:7" ht="15.75" customHeight="1">
      <c r="E446" s="18"/>
      <c r="F446" s="18"/>
      <c r="G446" s="301"/>
    </row>
    <row r="447" spans="5:7" ht="15.75" customHeight="1">
      <c r="E447" s="18"/>
      <c r="F447" s="18"/>
      <c r="G447" s="301"/>
    </row>
    <row r="448" spans="5:7" ht="15.75" customHeight="1">
      <c r="E448" s="18"/>
      <c r="F448" s="18"/>
      <c r="G448" s="301"/>
    </row>
    <row r="449" spans="5:7" ht="15.75" customHeight="1">
      <c r="E449" s="18"/>
      <c r="F449" s="18"/>
      <c r="G449" s="301"/>
    </row>
    <row r="450" spans="5:7" ht="15.75" customHeight="1">
      <c r="E450" s="18"/>
      <c r="F450" s="18"/>
      <c r="G450" s="301"/>
    </row>
    <row r="451" spans="5:7" ht="15.75" customHeight="1">
      <c r="E451" s="18"/>
      <c r="F451" s="18"/>
      <c r="G451" s="301"/>
    </row>
    <row r="452" spans="5:7" ht="15.75" customHeight="1">
      <c r="E452" s="18"/>
      <c r="F452" s="18"/>
      <c r="G452" s="301"/>
    </row>
    <row r="453" spans="5:7" ht="15.75" customHeight="1">
      <c r="E453" s="18"/>
      <c r="F453" s="18"/>
      <c r="G453" s="301"/>
    </row>
    <row r="454" spans="5:7" ht="15.75" customHeight="1">
      <c r="E454" s="18"/>
      <c r="F454" s="18"/>
      <c r="G454" s="301"/>
    </row>
    <row r="455" spans="5:7" ht="15.75" customHeight="1">
      <c r="E455" s="18"/>
      <c r="F455" s="18"/>
      <c r="G455" s="301"/>
    </row>
    <row r="456" spans="5:7" ht="15.75" customHeight="1">
      <c r="E456" s="18"/>
      <c r="F456" s="18"/>
      <c r="G456" s="301"/>
    </row>
    <row r="457" spans="5:7" ht="15.75" customHeight="1">
      <c r="E457" s="18"/>
      <c r="F457" s="18"/>
      <c r="G457" s="301"/>
    </row>
    <row r="458" spans="5:7" ht="15.75" customHeight="1">
      <c r="E458" s="18"/>
      <c r="F458" s="18"/>
      <c r="G458" s="301"/>
    </row>
    <row r="459" spans="5:7" ht="15.75" customHeight="1">
      <c r="E459" s="18"/>
      <c r="F459" s="18"/>
      <c r="G459" s="301"/>
    </row>
    <row r="460" spans="5:7" ht="15.75" customHeight="1">
      <c r="E460" s="18"/>
      <c r="F460" s="18"/>
      <c r="G460" s="301"/>
    </row>
    <row r="461" spans="5:7" ht="15.75" customHeight="1">
      <c r="E461" s="18"/>
      <c r="F461" s="18"/>
      <c r="G461" s="301"/>
    </row>
    <row r="462" spans="5:7" ht="15.75" customHeight="1">
      <c r="E462" s="18"/>
      <c r="F462" s="18"/>
      <c r="G462" s="301"/>
    </row>
    <row r="463" spans="5:7" ht="15.75" customHeight="1">
      <c r="E463" s="18"/>
      <c r="F463" s="18"/>
      <c r="G463" s="301"/>
    </row>
    <row r="464" spans="5:7" ht="15.75" customHeight="1">
      <c r="E464" s="18"/>
      <c r="F464" s="18"/>
      <c r="G464" s="301"/>
    </row>
    <row r="465" spans="5:7" ht="15.75" customHeight="1">
      <c r="E465" s="18"/>
      <c r="F465" s="18"/>
      <c r="G465" s="301"/>
    </row>
    <row r="466" spans="5:7" ht="15.75" customHeight="1">
      <c r="E466" s="18"/>
      <c r="F466" s="18"/>
      <c r="G466" s="301"/>
    </row>
    <row r="467" spans="5:7" ht="15.75" customHeight="1">
      <c r="E467" s="18"/>
      <c r="F467" s="18"/>
      <c r="G467" s="301"/>
    </row>
    <row r="468" spans="5:7" ht="15.75" customHeight="1">
      <c r="E468" s="18"/>
      <c r="F468" s="18"/>
      <c r="G468" s="301"/>
    </row>
    <row r="469" spans="5:7" ht="15.75" customHeight="1">
      <c r="E469" s="18"/>
      <c r="F469" s="18"/>
      <c r="G469" s="301"/>
    </row>
    <row r="470" spans="5:7" ht="15.75" customHeight="1">
      <c r="E470" s="18"/>
      <c r="F470" s="18"/>
      <c r="G470" s="301"/>
    </row>
    <row r="471" spans="5:7" ht="15.75" customHeight="1">
      <c r="E471" s="18"/>
      <c r="F471" s="18"/>
      <c r="G471" s="301"/>
    </row>
    <row r="472" spans="5:7" ht="15.75" customHeight="1">
      <c r="E472" s="18"/>
      <c r="F472" s="18"/>
      <c r="G472" s="301"/>
    </row>
    <row r="473" spans="5:7" ht="15.75" customHeight="1">
      <c r="E473" s="18"/>
      <c r="F473" s="18"/>
      <c r="G473" s="301"/>
    </row>
    <row r="474" spans="5:7" ht="15.75" customHeight="1">
      <c r="E474" s="18"/>
      <c r="F474" s="18"/>
      <c r="G474" s="301"/>
    </row>
    <row r="475" spans="5:7" ht="15.75" customHeight="1">
      <c r="E475" s="18"/>
      <c r="F475" s="18"/>
      <c r="G475" s="301"/>
    </row>
    <row r="476" spans="5:7" ht="15.75" customHeight="1">
      <c r="E476" s="18"/>
      <c r="F476" s="18"/>
      <c r="G476" s="301"/>
    </row>
    <row r="477" spans="5:7" ht="15.75" customHeight="1">
      <c r="E477" s="18"/>
      <c r="F477" s="18"/>
      <c r="G477" s="301"/>
    </row>
    <row r="478" spans="5:7" ht="15.75" customHeight="1">
      <c r="E478" s="18"/>
      <c r="F478" s="18"/>
      <c r="G478" s="301"/>
    </row>
    <row r="479" spans="5:7" ht="15.75" customHeight="1">
      <c r="E479" s="18"/>
      <c r="F479" s="18"/>
      <c r="G479" s="301"/>
    </row>
    <row r="480" spans="5:7" ht="15.75" customHeight="1">
      <c r="E480" s="18"/>
      <c r="F480" s="18"/>
      <c r="G480" s="301"/>
    </row>
    <row r="481" spans="5:7" ht="15.75" customHeight="1">
      <c r="E481" s="18"/>
      <c r="F481" s="18"/>
      <c r="G481" s="301"/>
    </row>
    <row r="482" spans="5:7" ht="15.75" customHeight="1">
      <c r="E482" s="18"/>
      <c r="F482" s="18"/>
      <c r="G482" s="301"/>
    </row>
    <row r="483" spans="5:7" ht="15.75" customHeight="1">
      <c r="E483" s="18"/>
      <c r="F483" s="18"/>
      <c r="G483" s="301"/>
    </row>
    <row r="484" spans="5:7" ht="15.75" customHeight="1">
      <c r="E484" s="18"/>
      <c r="F484" s="18"/>
      <c r="G484" s="301"/>
    </row>
    <row r="485" spans="5:7" ht="15.75" customHeight="1">
      <c r="E485" s="18"/>
      <c r="F485" s="18"/>
      <c r="G485" s="301"/>
    </row>
    <row r="486" spans="5:7" ht="15.75" customHeight="1">
      <c r="E486" s="18"/>
      <c r="F486" s="18"/>
      <c r="G486" s="301"/>
    </row>
    <row r="487" spans="5:7" ht="15.75" customHeight="1">
      <c r="E487" s="18"/>
      <c r="F487" s="18"/>
      <c r="G487" s="301"/>
    </row>
    <row r="488" spans="5:7" ht="15.75" customHeight="1">
      <c r="E488" s="18"/>
      <c r="F488" s="18"/>
      <c r="G488" s="301"/>
    </row>
    <row r="489" spans="5:7" ht="15.75" customHeight="1">
      <c r="E489" s="18"/>
      <c r="F489" s="18"/>
      <c r="G489" s="301"/>
    </row>
    <row r="490" spans="5:7" ht="15.75" customHeight="1">
      <c r="E490" s="18"/>
      <c r="F490" s="18"/>
      <c r="G490" s="301"/>
    </row>
    <row r="491" spans="5:7" ht="15.75" customHeight="1">
      <c r="E491" s="18"/>
      <c r="F491" s="18"/>
      <c r="G491" s="301"/>
    </row>
    <row r="492" spans="5:7" ht="15.75" customHeight="1">
      <c r="E492" s="18"/>
      <c r="F492" s="18"/>
      <c r="G492" s="301"/>
    </row>
    <row r="493" spans="5:7" ht="15.75" customHeight="1">
      <c r="E493" s="18"/>
      <c r="F493" s="18"/>
      <c r="G493" s="301"/>
    </row>
    <row r="494" spans="5:7" ht="15.75" customHeight="1">
      <c r="E494" s="18"/>
      <c r="F494" s="18"/>
      <c r="G494" s="301"/>
    </row>
    <row r="495" spans="5:7" ht="15.75" customHeight="1">
      <c r="E495" s="18"/>
      <c r="F495" s="18"/>
      <c r="G495" s="301"/>
    </row>
    <row r="496" spans="5:7" ht="15.75" customHeight="1">
      <c r="E496" s="18"/>
      <c r="F496" s="18"/>
      <c r="G496" s="301"/>
    </row>
    <row r="497" spans="5:7" ht="15.75" customHeight="1">
      <c r="E497" s="18"/>
      <c r="F497" s="18"/>
      <c r="G497" s="301"/>
    </row>
    <row r="498" spans="5:7" ht="15.75" customHeight="1">
      <c r="E498" s="18"/>
      <c r="F498" s="18"/>
      <c r="G498" s="301"/>
    </row>
    <row r="499" spans="5:7" ht="15.75" customHeight="1">
      <c r="E499" s="18"/>
      <c r="F499" s="18"/>
      <c r="G499" s="301"/>
    </row>
    <row r="500" spans="5:7" ht="15.75" customHeight="1">
      <c r="E500" s="18"/>
      <c r="F500" s="18"/>
      <c r="G500" s="301"/>
    </row>
    <row r="501" spans="5:7" ht="15.75" customHeight="1">
      <c r="E501" s="18"/>
      <c r="F501" s="18"/>
      <c r="G501" s="301"/>
    </row>
    <row r="502" spans="5:7" ht="15.75" customHeight="1">
      <c r="E502" s="18"/>
      <c r="F502" s="18"/>
      <c r="G502" s="301"/>
    </row>
    <row r="503" spans="5:7" ht="15.75" customHeight="1">
      <c r="E503" s="18"/>
      <c r="F503" s="18"/>
      <c r="G503" s="301"/>
    </row>
    <row r="504" spans="5:7" ht="15.75" customHeight="1">
      <c r="E504" s="18"/>
      <c r="F504" s="18"/>
      <c r="G504" s="301"/>
    </row>
    <row r="505" spans="5:7" ht="15.75" customHeight="1">
      <c r="E505" s="18"/>
      <c r="F505" s="18"/>
      <c r="G505" s="301"/>
    </row>
    <row r="506" spans="5:7" ht="15.75" customHeight="1">
      <c r="E506" s="18"/>
      <c r="F506" s="18"/>
      <c r="G506" s="301"/>
    </row>
    <row r="507" spans="5:7" ht="15.75" customHeight="1">
      <c r="E507" s="18"/>
      <c r="F507" s="18"/>
      <c r="G507" s="301"/>
    </row>
    <row r="508" spans="5:7" ht="15.75" customHeight="1">
      <c r="E508" s="18"/>
      <c r="F508" s="18"/>
      <c r="G508" s="301"/>
    </row>
    <row r="509" spans="5:7" ht="15.75" customHeight="1">
      <c r="E509" s="18"/>
      <c r="F509" s="18"/>
      <c r="G509" s="301"/>
    </row>
    <row r="510" spans="5:7" ht="15.75" customHeight="1">
      <c r="E510" s="18"/>
      <c r="F510" s="18"/>
      <c r="G510" s="301"/>
    </row>
    <row r="511" spans="5:7" ht="15.75" customHeight="1">
      <c r="E511" s="18"/>
      <c r="F511" s="18"/>
      <c r="G511" s="301"/>
    </row>
    <row r="512" spans="5:7" ht="15.75" customHeight="1">
      <c r="E512" s="18"/>
      <c r="F512" s="18"/>
      <c r="G512" s="301"/>
    </row>
    <row r="513" spans="5:7" ht="15.75" customHeight="1">
      <c r="E513" s="18"/>
      <c r="F513" s="18"/>
      <c r="G513" s="301"/>
    </row>
    <row r="514" spans="5:7" ht="15.75" customHeight="1">
      <c r="E514" s="18"/>
      <c r="F514" s="18"/>
      <c r="G514" s="301"/>
    </row>
    <row r="515" spans="5:7" ht="15.75" customHeight="1">
      <c r="E515" s="18"/>
      <c r="F515" s="18"/>
      <c r="G515" s="301"/>
    </row>
    <row r="516" spans="5:7" ht="15.75" customHeight="1">
      <c r="E516" s="18"/>
      <c r="F516" s="18"/>
      <c r="G516" s="301"/>
    </row>
    <row r="517" spans="5:7" ht="15.75" customHeight="1">
      <c r="E517" s="18"/>
      <c r="F517" s="18"/>
      <c r="G517" s="301"/>
    </row>
    <row r="518" spans="5:7" ht="15.75" customHeight="1">
      <c r="E518" s="18"/>
      <c r="F518" s="18"/>
      <c r="G518" s="301"/>
    </row>
    <row r="519" spans="5:7" ht="15.75" customHeight="1">
      <c r="E519" s="18"/>
      <c r="F519" s="18"/>
      <c r="G519" s="301"/>
    </row>
    <row r="520" spans="5:7" ht="15.75" customHeight="1">
      <c r="E520" s="18"/>
      <c r="F520" s="18"/>
      <c r="G520" s="301"/>
    </row>
    <row r="521" spans="5:7" ht="15.75" customHeight="1">
      <c r="E521" s="18"/>
      <c r="F521" s="18"/>
      <c r="G521" s="301"/>
    </row>
    <row r="522" spans="5:7" ht="15.75" customHeight="1">
      <c r="E522" s="18"/>
      <c r="F522" s="18"/>
      <c r="G522" s="301"/>
    </row>
    <row r="523" spans="5:7" ht="15.75" customHeight="1">
      <c r="E523" s="18"/>
      <c r="F523" s="18"/>
      <c r="G523" s="301"/>
    </row>
    <row r="524" spans="5:7" ht="15.75" customHeight="1">
      <c r="E524" s="18"/>
      <c r="F524" s="18"/>
      <c r="G524" s="301"/>
    </row>
    <row r="525" spans="5:7" ht="15.75" customHeight="1">
      <c r="E525" s="18"/>
      <c r="F525" s="18"/>
      <c r="G525" s="301"/>
    </row>
    <row r="526" spans="5:7" ht="15.75" customHeight="1">
      <c r="E526" s="18"/>
      <c r="F526" s="18"/>
      <c r="G526" s="301"/>
    </row>
    <row r="527" spans="5:7" ht="15.75" customHeight="1">
      <c r="E527" s="18"/>
      <c r="F527" s="18"/>
      <c r="G527" s="301"/>
    </row>
    <row r="528" spans="5:7" ht="15.75" customHeight="1">
      <c r="E528" s="18"/>
      <c r="F528" s="18"/>
      <c r="G528" s="301"/>
    </row>
    <row r="529" spans="5:7" ht="15.75" customHeight="1">
      <c r="E529" s="18"/>
      <c r="F529" s="18"/>
      <c r="G529" s="301"/>
    </row>
    <row r="530" spans="5:7" ht="15.75" customHeight="1">
      <c r="E530" s="18"/>
      <c r="F530" s="18"/>
      <c r="G530" s="301"/>
    </row>
    <row r="531" spans="5:7" ht="15.75" customHeight="1">
      <c r="E531" s="18"/>
      <c r="F531" s="18"/>
      <c r="G531" s="301"/>
    </row>
    <row r="532" spans="5:7" ht="15.75" customHeight="1">
      <c r="E532" s="18"/>
      <c r="F532" s="18"/>
      <c r="G532" s="301"/>
    </row>
    <row r="533" spans="5:7" ht="15.75" customHeight="1">
      <c r="E533" s="18"/>
      <c r="F533" s="18"/>
      <c r="G533" s="301"/>
    </row>
    <row r="534" spans="5:7" ht="15.75" customHeight="1">
      <c r="E534" s="18"/>
      <c r="F534" s="18"/>
      <c r="G534" s="301"/>
    </row>
    <row r="535" spans="5:7" ht="15.75" customHeight="1">
      <c r="E535" s="18"/>
      <c r="F535" s="18"/>
      <c r="G535" s="301"/>
    </row>
    <row r="536" spans="5:7" ht="15.75" customHeight="1">
      <c r="E536" s="18"/>
      <c r="F536" s="18"/>
      <c r="G536" s="301"/>
    </row>
    <row r="537" spans="5:7" ht="15.75" customHeight="1">
      <c r="E537" s="18"/>
      <c r="F537" s="18"/>
      <c r="G537" s="301"/>
    </row>
    <row r="538" spans="5:7" ht="15.75" customHeight="1">
      <c r="E538" s="18"/>
      <c r="F538" s="18"/>
      <c r="G538" s="301"/>
    </row>
    <row r="539" spans="5:7" ht="15.75" customHeight="1">
      <c r="E539" s="18"/>
      <c r="F539" s="18"/>
      <c r="G539" s="301"/>
    </row>
    <row r="540" spans="5:7" ht="15.75" customHeight="1">
      <c r="E540" s="18"/>
      <c r="F540" s="18"/>
      <c r="G540" s="301"/>
    </row>
    <row r="541" spans="5:7" ht="15.75" customHeight="1">
      <c r="E541" s="18"/>
      <c r="F541" s="18"/>
      <c r="G541" s="301"/>
    </row>
    <row r="542" spans="5:7" ht="15.75" customHeight="1">
      <c r="E542" s="18"/>
      <c r="F542" s="18"/>
      <c r="G542" s="301"/>
    </row>
    <row r="543" spans="5:7" ht="15.75" customHeight="1">
      <c r="E543" s="18"/>
      <c r="F543" s="18"/>
      <c r="G543" s="301"/>
    </row>
    <row r="544" spans="5:7" ht="15.75" customHeight="1">
      <c r="E544" s="18"/>
      <c r="F544" s="18"/>
      <c r="G544" s="301"/>
    </row>
    <row r="545" spans="5:7" ht="15.75" customHeight="1">
      <c r="E545" s="18"/>
      <c r="F545" s="18"/>
      <c r="G545" s="301"/>
    </row>
    <row r="546" spans="5:7" ht="15.75" customHeight="1">
      <c r="E546" s="18"/>
      <c r="F546" s="18"/>
      <c r="G546" s="301"/>
    </row>
    <row r="547" spans="5:7" ht="15.75" customHeight="1">
      <c r="E547" s="18"/>
      <c r="F547" s="18"/>
      <c r="G547" s="301"/>
    </row>
    <row r="548" spans="5:7" ht="15.75" customHeight="1">
      <c r="E548" s="18"/>
      <c r="F548" s="18"/>
      <c r="G548" s="301"/>
    </row>
    <row r="549" spans="5:7" ht="15.75" customHeight="1">
      <c r="E549" s="18"/>
      <c r="F549" s="18"/>
      <c r="G549" s="301"/>
    </row>
    <row r="550" spans="5:7" ht="15.75" customHeight="1">
      <c r="E550" s="18"/>
      <c r="F550" s="18"/>
      <c r="G550" s="301"/>
    </row>
    <row r="551" spans="5:7" ht="15.75" customHeight="1">
      <c r="E551" s="18"/>
      <c r="F551" s="18"/>
      <c r="G551" s="301"/>
    </row>
    <row r="552" spans="5:7" ht="15.75" customHeight="1">
      <c r="E552" s="18"/>
      <c r="F552" s="18"/>
      <c r="G552" s="301"/>
    </row>
    <row r="553" spans="5:7" ht="15.75" customHeight="1">
      <c r="E553" s="18"/>
      <c r="F553" s="18"/>
      <c r="G553" s="301"/>
    </row>
    <row r="554" spans="5:7" ht="15.75" customHeight="1">
      <c r="E554" s="18"/>
      <c r="F554" s="18"/>
      <c r="G554" s="301"/>
    </row>
    <row r="555" spans="5:7" ht="15.75" customHeight="1">
      <c r="E555" s="18"/>
      <c r="F555" s="18"/>
      <c r="G555" s="301"/>
    </row>
    <row r="556" spans="5:7" ht="15.75" customHeight="1">
      <c r="E556" s="18"/>
      <c r="F556" s="18"/>
      <c r="G556" s="301"/>
    </row>
    <row r="557" spans="5:7" ht="15.75" customHeight="1">
      <c r="E557" s="18"/>
      <c r="F557" s="18"/>
      <c r="G557" s="301"/>
    </row>
    <row r="558" spans="5:7" ht="15.75" customHeight="1">
      <c r="E558" s="18"/>
      <c r="F558" s="18"/>
      <c r="G558" s="301"/>
    </row>
    <row r="559" spans="5:7" ht="15.75" customHeight="1">
      <c r="E559" s="18"/>
      <c r="F559" s="18"/>
      <c r="G559" s="301"/>
    </row>
    <row r="560" spans="5:7" ht="15.75" customHeight="1">
      <c r="E560" s="18"/>
      <c r="F560" s="18"/>
      <c r="G560" s="301"/>
    </row>
    <row r="561" spans="5:7" ht="15.75" customHeight="1">
      <c r="E561" s="18"/>
      <c r="F561" s="18"/>
      <c r="G561" s="301"/>
    </row>
    <row r="562" spans="5:7" ht="15.75" customHeight="1">
      <c r="E562" s="18"/>
      <c r="F562" s="18"/>
      <c r="G562" s="301"/>
    </row>
    <row r="563" spans="5:7" ht="15.75" customHeight="1">
      <c r="E563" s="18"/>
      <c r="F563" s="18"/>
      <c r="G563" s="301"/>
    </row>
    <row r="564" spans="5:7" ht="15.75" customHeight="1">
      <c r="E564" s="18"/>
      <c r="F564" s="18"/>
      <c r="G564" s="301"/>
    </row>
    <row r="565" spans="5:7" ht="15.75" customHeight="1">
      <c r="E565" s="18"/>
      <c r="F565" s="18"/>
      <c r="G565" s="301"/>
    </row>
    <row r="566" spans="5:7" ht="15.75" customHeight="1">
      <c r="E566" s="18"/>
      <c r="F566" s="18"/>
      <c r="G566" s="301"/>
    </row>
    <row r="567" spans="5:7" ht="15.75" customHeight="1">
      <c r="E567" s="18"/>
      <c r="F567" s="18"/>
      <c r="G567" s="301"/>
    </row>
    <row r="568" spans="5:7" ht="15.75" customHeight="1">
      <c r="E568" s="18"/>
      <c r="F568" s="18"/>
      <c r="G568" s="301"/>
    </row>
    <row r="569" spans="5:7" ht="15.75" customHeight="1">
      <c r="E569" s="18"/>
      <c r="F569" s="18"/>
      <c r="G569" s="301"/>
    </row>
    <row r="570" spans="5:7" ht="15.75" customHeight="1">
      <c r="E570" s="18"/>
      <c r="F570" s="18"/>
      <c r="G570" s="301"/>
    </row>
    <row r="571" spans="5:7" ht="15.75" customHeight="1">
      <c r="E571" s="18"/>
      <c r="F571" s="18"/>
      <c r="G571" s="301"/>
    </row>
    <row r="572" spans="5:7" ht="15.75" customHeight="1">
      <c r="E572" s="18"/>
      <c r="F572" s="18"/>
      <c r="G572" s="301"/>
    </row>
    <row r="573" spans="5:7" ht="15.75" customHeight="1">
      <c r="E573" s="18"/>
      <c r="F573" s="18"/>
      <c r="G573" s="301"/>
    </row>
    <row r="574" spans="5:7" ht="15.75" customHeight="1">
      <c r="E574" s="18"/>
      <c r="F574" s="18"/>
      <c r="G574" s="301"/>
    </row>
    <row r="575" spans="5:7" ht="15.75" customHeight="1">
      <c r="E575" s="18"/>
      <c r="F575" s="18"/>
      <c r="G575" s="301"/>
    </row>
    <row r="576" spans="5:7" ht="15.75" customHeight="1">
      <c r="E576" s="18"/>
      <c r="F576" s="18"/>
      <c r="G576" s="301"/>
    </row>
    <row r="577" spans="5:7" ht="15.75" customHeight="1">
      <c r="E577" s="18"/>
      <c r="F577" s="18"/>
      <c r="G577" s="301"/>
    </row>
    <row r="578" spans="5:7" ht="15.75" customHeight="1">
      <c r="E578" s="18"/>
      <c r="F578" s="18"/>
      <c r="G578" s="301"/>
    </row>
    <row r="579" spans="5:7" ht="15.75" customHeight="1">
      <c r="E579" s="18"/>
      <c r="F579" s="18"/>
      <c r="G579" s="301"/>
    </row>
    <row r="580" spans="5:7" ht="15.75" customHeight="1">
      <c r="E580" s="18"/>
      <c r="F580" s="18"/>
      <c r="G580" s="301"/>
    </row>
    <row r="581" spans="5:7" ht="15.75" customHeight="1">
      <c r="E581" s="18"/>
      <c r="F581" s="18"/>
      <c r="G581" s="301"/>
    </row>
    <row r="582" spans="5:7" ht="15.75" customHeight="1">
      <c r="E582" s="18"/>
      <c r="F582" s="18"/>
      <c r="G582" s="301"/>
    </row>
    <row r="583" spans="5:7" ht="15.75" customHeight="1">
      <c r="E583" s="18"/>
      <c r="F583" s="18"/>
      <c r="G583" s="301"/>
    </row>
    <row r="584" spans="5:7" ht="15.75" customHeight="1">
      <c r="E584" s="18"/>
      <c r="F584" s="18"/>
      <c r="G584" s="301"/>
    </row>
    <row r="585" spans="5:7" ht="15.75" customHeight="1">
      <c r="E585" s="18"/>
      <c r="F585" s="18"/>
      <c r="G585" s="301"/>
    </row>
    <row r="586" spans="5:7" ht="15.75" customHeight="1">
      <c r="E586" s="18"/>
      <c r="F586" s="18"/>
      <c r="G586" s="301"/>
    </row>
    <row r="587" spans="5:7" ht="15.75" customHeight="1">
      <c r="E587" s="18"/>
      <c r="F587" s="18"/>
      <c r="G587" s="301"/>
    </row>
    <row r="588" spans="5:7" ht="15.75" customHeight="1">
      <c r="E588" s="18"/>
      <c r="F588" s="18"/>
      <c r="G588" s="301"/>
    </row>
    <row r="589" spans="5:7" ht="15.75" customHeight="1">
      <c r="E589" s="18"/>
      <c r="F589" s="18"/>
      <c r="G589" s="301"/>
    </row>
    <row r="590" spans="5:7" ht="15.75" customHeight="1">
      <c r="E590" s="18"/>
      <c r="F590" s="18"/>
      <c r="G590" s="301"/>
    </row>
    <row r="591" spans="5:7" ht="15.75" customHeight="1">
      <c r="E591" s="18"/>
      <c r="F591" s="18"/>
      <c r="G591" s="301"/>
    </row>
    <row r="592" spans="5:7" ht="15.75" customHeight="1">
      <c r="E592" s="18"/>
      <c r="F592" s="18"/>
      <c r="G592" s="301"/>
    </row>
    <row r="593" spans="5:7" ht="15.75" customHeight="1">
      <c r="E593" s="18"/>
      <c r="F593" s="18"/>
      <c r="G593" s="301"/>
    </row>
    <row r="594" spans="5:7" ht="15.75" customHeight="1">
      <c r="E594" s="18"/>
      <c r="F594" s="18"/>
      <c r="G594" s="301"/>
    </row>
    <row r="595" spans="5:7" ht="15.75" customHeight="1">
      <c r="E595" s="18"/>
      <c r="F595" s="18"/>
      <c r="G595" s="301"/>
    </row>
    <row r="596" spans="5:7" ht="15.75" customHeight="1">
      <c r="E596" s="18"/>
      <c r="F596" s="18"/>
      <c r="G596" s="301"/>
    </row>
    <row r="597" spans="5:7" ht="15.75" customHeight="1">
      <c r="E597" s="18"/>
      <c r="F597" s="18"/>
      <c r="G597" s="301"/>
    </row>
    <row r="598" spans="5:7" ht="15.75" customHeight="1">
      <c r="E598" s="18"/>
      <c r="F598" s="18"/>
      <c r="G598" s="301"/>
    </row>
    <row r="599" spans="5:7" ht="15.75" customHeight="1">
      <c r="E599" s="18"/>
      <c r="F599" s="18"/>
      <c r="G599" s="301"/>
    </row>
    <row r="600" spans="5:7" ht="15.75" customHeight="1">
      <c r="E600" s="18"/>
      <c r="F600" s="18"/>
      <c r="G600" s="301"/>
    </row>
    <row r="601" spans="5:7" ht="15.75" customHeight="1">
      <c r="E601" s="18"/>
      <c r="F601" s="18"/>
      <c r="G601" s="301"/>
    </row>
    <row r="602" spans="5:7" ht="15.75" customHeight="1">
      <c r="E602" s="18"/>
      <c r="F602" s="18"/>
      <c r="G602" s="301"/>
    </row>
    <row r="603" spans="5:7" ht="15.75" customHeight="1">
      <c r="E603" s="18"/>
      <c r="F603" s="18"/>
      <c r="G603" s="301"/>
    </row>
    <row r="604" spans="5:7" ht="15.75" customHeight="1">
      <c r="E604" s="18"/>
      <c r="F604" s="18"/>
      <c r="G604" s="301"/>
    </row>
    <row r="605" spans="5:7" ht="15.75" customHeight="1">
      <c r="E605" s="18"/>
      <c r="F605" s="18"/>
      <c r="G605" s="301"/>
    </row>
    <row r="606" spans="5:7" ht="15.75" customHeight="1">
      <c r="E606" s="18"/>
      <c r="F606" s="18"/>
      <c r="G606" s="301"/>
    </row>
    <row r="607" spans="5:7" ht="15.75" customHeight="1">
      <c r="E607" s="18"/>
      <c r="F607" s="18"/>
      <c r="G607" s="301"/>
    </row>
    <row r="608" spans="5:7" ht="15.75" customHeight="1">
      <c r="E608" s="18"/>
      <c r="F608" s="18"/>
      <c r="G608" s="301"/>
    </row>
    <row r="609" spans="5:7" ht="15.75" customHeight="1">
      <c r="E609" s="18"/>
      <c r="F609" s="18"/>
      <c r="G609" s="301"/>
    </row>
    <row r="610" spans="5:7" ht="15.75" customHeight="1">
      <c r="E610" s="18"/>
      <c r="F610" s="18"/>
      <c r="G610" s="301"/>
    </row>
    <row r="611" spans="5:7" ht="15.75" customHeight="1">
      <c r="E611" s="18"/>
      <c r="F611" s="18"/>
      <c r="G611" s="301"/>
    </row>
    <row r="612" spans="5:7" ht="15.75" customHeight="1">
      <c r="E612" s="18"/>
      <c r="F612" s="18"/>
      <c r="G612" s="301"/>
    </row>
    <row r="613" spans="5:7" ht="15.75" customHeight="1">
      <c r="E613" s="18"/>
      <c r="F613" s="18"/>
      <c r="G613" s="301"/>
    </row>
    <row r="614" spans="5:7" ht="15.75" customHeight="1">
      <c r="E614" s="18"/>
      <c r="F614" s="18"/>
      <c r="G614" s="301"/>
    </row>
    <row r="615" spans="5:7" ht="15.75" customHeight="1">
      <c r="E615" s="18"/>
      <c r="F615" s="18"/>
      <c r="G615" s="301"/>
    </row>
    <row r="616" spans="5:7" ht="15.75" customHeight="1">
      <c r="E616" s="18"/>
      <c r="F616" s="18"/>
      <c r="G616" s="301"/>
    </row>
    <row r="617" spans="5:7" ht="15.75" customHeight="1">
      <c r="E617" s="18"/>
      <c r="F617" s="18"/>
      <c r="G617" s="301"/>
    </row>
    <row r="618" spans="5:7" ht="15.75" customHeight="1">
      <c r="E618" s="18"/>
      <c r="F618" s="18"/>
      <c r="G618" s="301"/>
    </row>
    <row r="619" spans="5:7" ht="15.75" customHeight="1">
      <c r="E619" s="18"/>
      <c r="F619" s="18"/>
      <c r="G619" s="301"/>
    </row>
    <row r="620" spans="5:7" ht="15.75" customHeight="1">
      <c r="E620" s="18"/>
      <c r="F620" s="18"/>
      <c r="G620" s="301"/>
    </row>
    <row r="621" spans="5:7" ht="15.75" customHeight="1">
      <c r="E621" s="18"/>
      <c r="F621" s="18"/>
      <c r="G621" s="301"/>
    </row>
    <row r="622" spans="5:7" ht="15.75" customHeight="1">
      <c r="E622" s="18"/>
      <c r="F622" s="18"/>
      <c r="G622" s="301"/>
    </row>
    <row r="623" spans="5:7" ht="15.75" customHeight="1">
      <c r="E623" s="18"/>
      <c r="F623" s="18"/>
      <c r="G623" s="301"/>
    </row>
    <row r="624" spans="5:7" ht="15.75" customHeight="1">
      <c r="E624" s="18"/>
      <c r="F624" s="18"/>
      <c r="G624" s="301"/>
    </row>
    <row r="625" spans="5:7" ht="15.75" customHeight="1">
      <c r="E625" s="18"/>
      <c r="F625" s="18"/>
      <c r="G625" s="301"/>
    </row>
    <row r="626" spans="5:7" ht="15.75" customHeight="1">
      <c r="E626" s="18"/>
      <c r="F626" s="18"/>
      <c r="G626" s="301"/>
    </row>
    <row r="627" spans="5:7" ht="15.75" customHeight="1">
      <c r="E627" s="18"/>
      <c r="F627" s="18"/>
      <c r="G627" s="301"/>
    </row>
    <row r="628" spans="5:7" ht="15.75" customHeight="1">
      <c r="E628" s="18"/>
      <c r="F628" s="18"/>
      <c r="G628" s="301"/>
    </row>
    <row r="629" spans="5:7" ht="15.75" customHeight="1">
      <c r="E629" s="18"/>
      <c r="F629" s="18"/>
      <c r="G629" s="301"/>
    </row>
    <row r="630" spans="5:7" ht="15.75" customHeight="1">
      <c r="E630" s="18"/>
      <c r="F630" s="18"/>
      <c r="G630" s="301"/>
    </row>
    <row r="631" spans="5:7" ht="15.75" customHeight="1">
      <c r="E631" s="18"/>
      <c r="F631" s="18"/>
      <c r="G631" s="301"/>
    </row>
    <row r="632" spans="5:7" ht="15.75" customHeight="1">
      <c r="E632" s="18"/>
      <c r="F632" s="18"/>
      <c r="G632" s="301"/>
    </row>
    <row r="633" spans="5:7" ht="15.75" customHeight="1">
      <c r="E633" s="18"/>
      <c r="F633" s="18"/>
      <c r="G633" s="301"/>
    </row>
    <row r="634" spans="5:7" ht="15.75" customHeight="1">
      <c r="E634" s="18"/>
      <c r="F634" s="18"/>
      <c r="G634" s="301"/>
    </row>
    <row r="635" spans="5:7" ht="15.75" customHeight="1">
      <c r="E635" s="18"/>
      <c r="F635" s="18"/>
      <c r="G635" s="301"/>
    </row>
    <row r="636" spans="5:7" ht="15.75" customHeight="1">
      <c r="E636" s="18"/>
      <c r="F636" s="18"/>
      <c r="G636" s="301"/>
    </row>
    <row r="637" spans="5:7" ht="15.75" customHeight="1">
      <c r="E637" s="18"/>
      <c r="F637" s="18"/>
      <c r="G637" s="301"/>
    </row>
    <row r="638" spans="5:7" ht="15.75" customHeight="1">
      <c r="E638" s="18"/>
      <c r="F638" s="18"/>
      <c r="G638" s="301"/>
    </row>
    <row r="639" spans="5:7" ht="15.75" customHeight="1">
      <c r="E639" s="18"/>
      <c r="F639" s="18"/>
      <c r="G639" s="301"/>
    </row>
    <row r="640" spans="5:7" ht="15.75" customHeight="1">
      <c r="E640" s="18"/>
      <c r="F640" s="18"/>
      <c r="G640" s="301"/>
    </row>
    <row r="641" spans="5:7" ht="15.75" customHeight="1">
      <c r="E641" s="18"/>
      <c r="F641" s="18"/>
      <c r="G641" s="301"/>
    </row>
    <row r="642" spans="5:7" ht="15.75" customHeight="1">
      <c r="E642" s="18"/>
      <c r="F642" s="18"/>
      <c r="G642" s="301"/>
    </row>
    <row r="643" spans="5:7" ht="15.75" customHeight="1">
      <c r="E643" s="18"/>
      <c r="F643" s="18"/>
      <c r="G643" s="301"/>
    </row>
    <row r="644" spans="5:7" ht="15.75" customHeight="1">
      <c r="E644" s="18"/>
      <c r="F644" s="18"/>
      <c r="G644" s="301"/>
    </row>
    <row r="645" spans="5:7" ht="15.75" customHeight="1">
      <c r="E645" s="18"/>
      <c r="F645" s="18"/>
      <c r="G645" s="301"/>
    </row>
    <row r="646" spans="5:7" ht="15.75" customHeight="1">
      <c r="E646" s="18"/>
      <c r="F646" s="18"/>
      <c r="G646" s="301"/>
    </row>
    <row r="647" spans="5:7" ht="15.75" customHeight="1">
      <c r="E647" s="18"/>
      <c r="F647" s="18"/>
      <c r="G647" s="301"/>
    </row>
    <row r="648" spans="5:7" ht="15.75" customHeight="1">
      <c r="E648" s="18"/>
      <c r="F648" s="18"/>
      <c r="G648" s="301"/>
    </row>
    <row r="649" spans="5:7" ht="15.75" customHeight="1">
      <c r="E649" s="18"/>
      <c r="F649" s="18"/>
      <c r="G649" s="301"/>
    </row>
    <row r="650" spans="5:7" ht="15.75" customHeight="1">
      <c r="E650" s="18"/>
      <c r="F650" s="18"/>
      <c r="G650" s="301"/>
    </row>
    <row r="651" spans="5:7" ht="15.75" customHeight="1">
      <c r="E651" s="18"/>
      <c r="F651" s="18"/>
      <c r="G651" s="301"/>
    </row>
    <row r="652" spans="5:7" ht="15.75" customHeight="1">
      <c r="E652" s="18"/>
      <c r="F652" s="18"/>
      <c r="G652" s="301"/>
    </row>
    <row r="653" spans="5:7" ht="15.75" customHeight="1">
      <c r="E653" s="18"/>
      <c r="F653" s="18"/>
      <c r="G653" s="301"/>
    </row>
    <row r="654" spans="5:7" ht="15.75" customHeight="1">
      <c r="E654" s="18"/>
      <c r="F654" s="18"/>
      <c r="G654" s="301"/>
    </row>
    <row r="655" spans="5:7" ht="15.75" customHeight="1">
      <c r="E655" s="18"/>
      <c r="F655" s="18"/>
      <c r="G655" s="301"/>
    </row>
    <row r="656" spans="5:7" ht="15.75" customHeight="1">
      <c r="E656" s="18"/>
      <c r="F656" s="18"/>
      <c r="G656" s="301"/>
    </row>
    <row r="657" spans="5:7" ht="15.75" customHeight="1">
      <c r="E657" s="18"/>
      <c r="F657" s="18"/>
      <c r="G657" s="301"/>
    </row>
    <row r="658" spans="5:7" ht="15.75" customHeight="1">
      <c r="E658" s="18"/>
      <c r="F658" s="18"/>
      <c r="G658" s="301"/>
    </row>
    <row r="659" spans="5:7" ht="15.75" customHeight="1">
      <c r="E659" s="18"/>
      <c r="F659" s="18"/>
      <c r="G659" s="301"/>
    </row>
    <row r="660" spans="5:7" ht="15.75" customHeight="1">
      <c r="E660" s="18"/>
      <c r="F660" s="18"/>
      <c r="G660" s="301"/>
    </row>
    <row r="661" spans="5:7" ht="15.75" customHeight="1">
      <c r="E661" s="18"/>
      <c r="F661" s="18"/>
      <c r="G661" s="301"/>
    </row>
    <row r="662" spans="5:7" ht="15.75" customHeight="1">
      <c r="E662" s="18"/>
      <c r="F662" s="18"/>
      <c r="G662" s="301"/>
    </row>
    <row r="663" spans="5:7" ht="15.75" customHeight="1">
      <c r="E663" s="18"/>
      <c r="F663" s="18"/>
      <c r="G663" s="301"/>
    </row>
    <row r="664" spans="5:7" ht="15.75" customHeight="1">
      <c r="E664" s="18"/>
      <c r="F664" s="18"/>
      <c r="G664" s="301"/>
    </row>
    <row r="665" spans="5:7" ht="15.75" customHeight="1">
      <c r="E665" s="18"/>
      <c r="F665" s="18"/>
      <c r="G665" s="301"/>
    </row>
    <row r="666" spans="5:7" ht="15.75" customHeight="1">
      <c r="E666" s="18"/>
      <c r="F666" s="18"/>
      <c r="G666" s="301"/>
    </row>
    <row r="667" spans="5:7" ht="15.75" customHeight="1">
      <c r="E667" s="18"/>
      <c r="F667" s="18"/>
      <c r="G667" s="301"/>
    </row>
    <row r="668" spans="5:7" ht="15.75" customHeight="1">
      <c r="E668" s="18"/>
      <c r="F668" s="18"/>
      <c r="G668" s="301"/>
    </row>
    <row r="669" spans="5:7" ht="15.75" customHeight="1">
      <c r="E669" s="18"/>
      <c r="F669" s="18"/>
      <c r="G669" s="301"/>
    </row>
    <row r="670" spans="5:7" ht="15.75" customHeight="1">
      <c r="E670" s="18"/>
      <c r="F670" s="18"/>
      <c r="G670" s="301"/>
    </row>
    <row r="671" spans="5:7" ht="15.75" customHeight="1">
      <c r="E671" s="18"/>
      <c r="F671" s="18"/>
      <c r="G671" s="301"/>
    </row>
    <row r="672" spans="5:7" ht="15.75" customHeight="1">
      <c r="E672" s="18"/>
      <c r="F672" s="18"/>
      <c r="G672" s="301"/>
    </row>
    <row r="673" spans="5:7" ht="15.75" customHeight="1">
      <c r="E673" s="18"/>
      <c r="F673" s="18"/>
      <c r="G673" s="301"/>
    </row>
    <row r="674" spans="5:7" ht="15.75" customHeight="1">
      <c r="E674" s="18"/>
      <c r="F674" s="18"/>
      <c r="G674" s="301"/>
    </row>
    <row r="675" spans="5:7" ht="15.75" customHeight="1">
      <c r="E675" s="18"/>
      <c r="F675" s="18"/>
      <c r="G675" s="301"/>
    </row>
    <row r="676" spans="5:7" ht="15.75" customHeight="1">
      <c r="E676" s="18"/>
      <c r="F676" s="18"/>
      <c r="G676" s="301"/>
    </row>
    <row r="677" spans="5:7" ht="15.75" customHeight="1">
      <c r="E677" s="18"/>
      <c r="F677" s="18"/>
      <c r="G677" s="301"/>
    </row>
    <row r="678" spans="5:7" ht="15.75" customHeight="1">
      <c r="E678" s="18"/>
      <c r="F678" s="18"/>
      <c r="G678" s="301"/>
    </row>
    <row r="679" spans="5:7" ht="15.75" customHeight="1">
      <c r="E679" s="18"/>
      <c r="F679" s="18"/>
      <c r="G679" s="301"/>
    </row>
    <row r="680" spans="5:7" ht="15.75" customHeight="1">
      <c r="E680" s="18"/>
      <c r="F680" s="18"/>
      <c r="G680" s="301"/>
    </row>
    <row r="681" spans="5:7" ht="15.75" customHeight="1">
      <c r="E681" s="18"/>
      <c r="F681" s="18"/>
      <c r="G681" s="301"/>
    </row>
    <row r="682" spans="5:7" ht="15.75" customHeight="1">
      <c r="E682" s="18"/>
      <c r="F682" s="18"/>
      <c r="G682" s="301"/>
    </row>
    <row r="683" spans="5:7" ht="15.75" customHeight="1">
      <c r="E683" s="18"/>
      <c r="F683" s="18"/>
      <c r="G683" s="301"/>
    </row>
    <row r="684" spans="5:7" ht="15.75" customHeight="1">
      <c r="E684" s="18"/>
      <c r="F684" s="18"/>
      <c r="G684" s="301"/>
    </row>
    <row r="685" spans="5:7" ht="15.75" customHeight="1">
      <c r="E685" s="18"/>
      <c r="F685" s="18"/>
      <c r="G685" s="301"/>
    </row>
    <row r="686" spans="5:7" ht="15.75" customHeight="1">
      <c r="E686" s="18"/>
      <c r="F686" s="18"/>
      <c r="G686" s="301"/>
    </row>
    <row r="687" spans="5:7" ht="15.75" customHeight="1">
      <c r="E687" s="18"/>
      <c r="F687" s="18"/>
      <c r="G687" s="301"/>
    </row>
    <row r="688" spans="5:7" ht="15.75" customHeight="1">
      <c r="E688" s="18"/>
      <c r="F688" s="18"/>
      <c r="G688" s="301"/>
    </row>
    <row r="689" spans="5:7" ht="15.75" customHeight="1">
      <c r="E689" s="18"/>
      <c r="F689" s="18"/>
      <c r="G689" s="301"/>
    </row>
    <row r="690" spans="5:7" ht="15.75" customHeight="1">
      <c r="E690" s="18"/>
      <c r="F690" s="18"/>
      <c r="G690" s="301"/>
    </row>
    <row r="691" spans="5:7" ht="15.75" customHeight="1">
      <c r="E691" s="18"/>
      <c r="F691" s="18"/>
      <c r="G691" s="301"/>
    </row>
    <row r="692" spans="5:7" ht="15.75" customHeight="1">
      <c r="E692" s="18"/>
      <c r="F692" s="18"/>
      <c r="G692" s="301"/>
    </row>
    <row r="693" spans="5:7" ht="15.75" customHeight="1">
      <c r="E693" s="18"/>
      <c r="F693" s="18"/>
      <c r="G693" s="301"/>
    </row>
    <row r="694" spans="5:7" ht="15.75" customHeight="1">
      <c r="E694" s="18"/>
      <c r="F694" s="18"/>
      <c r="G694" s="301"/>
    </row>
    <row r="695" spans="5:7" ht="15.75" customHeight="1">
      <c r="E695" s="18"/>
      <c r="F695" s="18"/>
      <c r="G695" s="301"/>
    </row>
    <row r="696" spans="5:7" ht="15.75" customHeight="1">
      <c r="E696" s="18"/>
      <c r="F696" s="18"/>
      <c r="G696" s="301"/>
    </row>
    <row r="697" spans="5:7" ht="15.75" customHeight="1">
      <c r="E697" s="18"/>
      <c r="F697" s="18"/>
      <c r="G697" s="301"/>
    </row>
    <row r="698" spans="5:7" ht="15.75" customHeight="1">
      <c r="E698" s="18"/>
      <c r="F698" s="18"/>
      <c r="G698" s="301"/>
    </row>
    <row r="699" spans="5:7" ht="15.75" customHeight="1">
      <c r="E699" s="18"/>
      <c r="F699" s="18"/>
      <c r="G699" s="301"/>
    </row>
    <row r="700" spans="5:7" ht="15.75" customHeight="1">
      <c r="E700" s="18"/>
      <c r="F700" s="18"/>
      <c r="G700" s="301"/>
    </row>
    <row r="701" spans="5:7" ht="15.75" customHeight="1">
      <c r="E701" s="18"/>
      <c r="F701" s="18"/>
      <c r="G701" s="301"/>
    </row>
    <row r="702" spans="5:7" ht="15.75" customHeight="1">
      <c r="E702" s="18"/>
      <c r="F702" s="18"/>
      <c r="G702" s="301"/>
    </row>
    <row r="703" spans="5:7" ht="15.75" customHeight="1">
      <c r="E703" s="18"/>
      <c r="F703" s="18"/>
      <c r="G703" s="301"/>
    </row>
    <row r="704" spans="5:7" ht="15.75" customHeight="1">
      <c r="E704" s="18"/>
      <c r="F704" s="18"/>
      <c r="G704" s="301"/>
    </row>
    <row r="705" spans="5:7" ht="15.75" customHeight="1">
      <c r="E705" s="18"/>
      <c r="F705" s="18"/>
      <c r="G705" s="301"/>
    </row>
    <row r="706" spans="5:7" ht="15.75" customHeight="1">
      <c r="E706" s="18"/>
      <c r="F706" s="18"/>
      <c r="G706" s="301"/>
    </row>
    <row r="707" spans="5:7" ht="15.75" customHeight="1">
      <c r="E707" s="18"/>
      <c r="F707" s="18"/>
      <c r="G707" s="301"/>
    </row>
    <row r="708" spans="5:7" ht="15.75" customHeight="1">
      <c r="E708" s="18"/>
      <c r="F708" s="18"/>
      <c r="G708" s="301"/>
    </row>
    <row r="709" spans="5:7" ht="15.75" customHeight="1">
      <c r="E709" s="18"/>
      <c r="F709" s="18"/>
      <c r="G709" s="301"/>
    </row>
    <row r="710" spans="5:7" ht="15.75" customHeight="1">
      <c r="E710" s="18"/>
      <c r="F710" s="18"/>
      <c r="G710" s="301"/>
    </row>
    <row r="711" spans="5:7" ht="15.75" customHeight="1">
      <c r="E711" s="18"/>
      <c r="F711" s="18"/>
      <c r="G711" s="301"/>
    </row>
    <row r="712" spans="5:7" ht="15.75" customHeight="1">
      <c r="E712" s="18"/>
      <c r="F712" s="18"/>
      <c r="G712" s="301"/>
    </row>
    <row r="713" spans="5:7" ht="15.75" customHeight="1">
      <c r="E713" s="18"/>
      <c r="F713" s="18"/>
      <c r="G713" s="301"/>
    </row>
    <row r="714" spans="5:7" ht="15.75" customHeight="1">
      <c r="E714" s="18"/>
      <c r="F714" s="18"/>
      <c r="G714" s="301"/>
    </row>
    <row r="715" spans="5:7" ht="15.75" customHeight="1">
      <c r="E715" s="18"/>
      <c r="F715" s="18"/>
      <c r="G715" s="301"/>
    </row>
    <row r="716" spans="5:7" ht="15.75" customHeight="1">
      <c r="E716" s="18"/>
      <c r="F716" s="18"/>
      <c r="G716" s="301"/>
    </row>
    <row r="717" spans="5:7" ht="15.75" customHeight="1">
      <c r="E717" s="18"/>
      <c r="F717" s="18"/>
      <c r="G717" s="301"/>
    </row>
    <row r="718" spans="5:7" ht="15.75" customHeight="1">
      <c r="E718" s="18"/>
      <c r="F718" s="18"/>
      <c r="G718" s="301"/>
    </row>
    <row r="719" spans="5:7" ht="15.75" customHeight="1">
      <c r="E719" s="18"/>
      <c r="F719" s="18"/>
      <c r="G719" s="301"/>
    </row>
    <row r="720" spans="5:7" ht="15.75" customHeight="1">
      <c r="E720" s="18"/>
      <c r="F720" s="18"/>
      <c r="G720" s="301"/>
    </row>
    <row r="721" spans="5:7" ht="15.75" customHeight="1">
      <c r="E721" s="18"/>
      <c r="F721" s="18"/>
      <c r="G721" s="301"/>
    </row>
    <row r="722" spans="5:7" ht="15.75" customHeight="1">
      <c r="E722" s="18"/>
      <c r="F722" s="18"/>
      <c r="G722" s="301"/>
    </row>
    <row r="723" spans="5:7" ht="15.75" customHeight="1">
      <c r="E723" s="18"/>
      <c r="F723" s="18"/>
      <c r="G723" s="301"/>
    </row>
    <row r="724" spans="5:7" ht="15.75" customHeight="1">
      <c r="E724" s="18"/>
      <c r="F724" s="18"/>
      <c r="G724" s="301"/>
    </row>
    <row r="725" spans="5:7" ht="15.75" customHeight="1">
      <c r="E725" s="18"/>
      <c r="F725" s="18"/>
      <c r="G725" s="301"/>
    </row>
    <row r="726" spans="5:7" ht="15.75" customHeight="1">
      <c r="E726" s="18"/>
      <c r="F726" s="18"/>
      <c r="G726" s="301"/>
    </row>
    <row r="727" spans="5:7" ht="15.75" customHeight="1">
      <c r="E727" s="18"/>
      <c r="F727" s="18"/>
      <c r="G727" s="301"/>
    </row>
    <row r="728" spans="5:7" ht="15.75" customHeight="1">
      <c r="E728" s="18"/>
      <c r="F728" s="18"/>
      <c r="G728" s="301"/>
    </row>
    <row r="729" spans="5:7" ht="15.75" customHeight="1">
      <c r="E729" s="18"/>
      <c r="F729" s="18"/>
      <c r="G729" s="301"/>
    </row>
    <row r="730" spans="5:7" ht="15.75" customHeight="1">
      <c r="E730" s="18"/>
      <c r="F730" s="18"/>
      <c r="G730" s="301"/>
    </row>
    <row r="731" spans="5:7" ht="15.75" customHeight="1">
      <c r="E731" s="18"/>
      <c r="F731" s="18"/>
      <c r="G731" s="301"/>
    </row>
    <row r="732" spans="5:7" ht="15.75" customHeight="1">
      <c r="E732" s="18"/>
      <c r="F732" s="18"/>
      <c r="G732" s="301"/>
    </row>
    <row r="733" spans="5:7" ht="15.75" customHeight="1">
      <c r="E733" s="18"/>
      <c r="F733" s="18"/>
      <c r="G733" s="301"/>
    </row>
    <row r="734" spans="5:7" ht="15.75" customHeight="1">
      <c r="E734" s="18"/>
      <c r="F734" s="18"/>
      <c r="G734" s="301"/>
    </row>
    <row r="735" spans="5:7" ht="15.75" customHeight="1">
      <c r="E735" s="18"/>
      <c r="F735" s="18"/>
      <c r="G735" s="301"/>
    </row>
    <row r="736" spans="5:7" ht="15.75" customHeight="1">
      <c r="E736" s="18"/>
      <c r="F736" s="18"/>
      <c r="G736" s="301"/>
    </row>
    <row r="737" spans="5:7" ht="15.75" customHeight="1">
      <c r="E737" s="18"/>
      <c r="F737" s="18"/>
      <c r="G737" s="301"/>
    </row>
    <row r="738" spans="5:7" ht="15.75" customHeight="1">
      <c r="E738" s="18"/>
      <c r="F738" s="18"/>
      <c r="G738" s="301"/>
    </row>
    <row r="739" spans="5:7" ht="15.75" customHeight="1">
      <c r="E739" s="18"/>
      <c r="F739" s="18"/>
      <c r="G739" s="301"/>
    </row>
    <row r="740" spans="5:7" ht="15.75" customHeight="1">
      <c r="E740" s="18"/>
      <c r="F740" s="18"/>
      <c r="G740" s="301"/>
    </row>
    <row r="741" spans="5:7" ht="15.75" customHeight="1">
      <c r="E741" s="18"/>
      <c r="F741" s="18"/>
      <c r="G741" s="301"/>
    </row>
    <row r="742" spans="5:7" ht="15.75" customHeight="1">
      <c r="E742" s="18"/>
      <c r="F742" s="18"/>
      <c r="G742" s="301"/>
    </row>
    <row r="743" spans="5:7" ht="15.75" customHeight="1">
      <c r="E743" s="18"/>
      <c r="F743" s="18"/>
      <c r="G743" s="301"/>
    </row>
    <row r="744" spans="5:7" ht="15.75" customHeight="1">
      <c r="E744" s="18"/>
      <c r="F744" s="18"/>
      <c r="G744" s="301"/>
    </row>
    <row r="745" spans="5:7" ht="15.75" customHeight="1">
      <c r="E745" s="18"/>
      <c r="F745" s="18"/>
      <c r="G745" s="301"/>
    </row>
    <row r="746" spans="5:7" ht="15.75" customHeight="1">
      <c r="E746" s="18"/>
      <c r="F746" s="18"/>
      <c r="G746" s="301"/>
    </row>
    <row r="747" spans="5:7" ht="15.75" customHeight="1">
      <c r="E747" s="18"/>
      <c r="F747" s="18"/>
      <c r="G747" s="301"/>
    </row>
    <row r="748" spans="5:7" ht="15.75" customHeight="1">
      <c r="E748" s="18"/>
      <c r="F748" s="18"/>
      <c r="G748" s="301"/>
    </row>
    <row r="749" spans="5:7" ht="15.75" customHeight="1">
      <c r="E749" s="18"/>
      <c r="F749" s="18"/>
      <c r="G749" s="301"/>
    </row>
    <row r="750" spans="5:7" ht="15.75" customHeight="1">
      <c r="E750" s="18"/>
      <c r="F750" s="18"/>
      <c r="G750" s="301"/>
    </row>
    <row r="751" spans="5:7" ht="15.75" customHeight="1">
      <c r="E751" s="18"/>
      <c r="F751" s="18"/>
      <c r="G751" s="301"/>
    </row>
    <row r="752" spans="5:7" ht="15.75" customHeight="1">
      <c r="E752" s="18"/>
      <c r="F752" s="18"/>
      <c r="G752" s="301"/>
    </row>
    <row r="753" spans="5:7" ht="15.75" customHeight="1">
      <c r="E753" s="18"/>
      <c r="F753" s="18"/>
      <c r="G753" s="301"/>
    </row>
    <row r="754" spans="5:7" ht="15.75" customHeight="1">
      <c r="E754" s="18"/>
      <c r="F754" s="18"/>
      <c r="G754" s="301"/>
    </row>
    <row r="755" spans="5:7" ht="15.75" customHeight="1">
      <c r="E755" s="18"/>
      <c r="F755" s="18"/>
      <c r="G755" s="301"/>
    </row>
    <row r="756" spans="5:7" ht="15.75" customHeight="1">
      <c r="E756" s="18"/>
      <c r="F756" s="18"/>
      <c r="G756" s="301"/>
    </row>
    <row r="757" spans="5:7" ht="15.75" customHeight="1">
      <c r="E757" s="18"/>
      <c r="F757" s="18"/>
      <c r="G757" s="301"/>
    </row>
    <row r="758" spans="5:7" ht="15.75" customHeight="1">
      <c r="E758" s="18"/>
      <c r="F758" s="18"/>
      <c r="G758" s="301"/>
    </row>
    <row r="759" spans="5:7" ht="15.75" customHeight="1">
      <c r="E759" s="18"/>
      <c r="F759" s="18"/>
      <c r="G759" s="301"/>
    </row>
    <row r="760" spans="5:7" ht="15.75" customHeight="1">
      <c r="E760" s="18"/>
      <c r="F760" s="18"/>
      <c r="G760" s="301"/>
    </row>
    <row r="761" spans="5:7" ht="15.75" customHeight="1">
      <c r="E761" s="18"/>
      <c r="F761" s="18"/>
      <c r="G761" s="301"/>
    </row>
    <row r="762" spans="5:7" ht="15.75" customHeight="1">
      <c r="E762" s="18"/>
      <c r="F762" s="18"/>
      <c r="G762" s="301"/>
    </row>
    <row r="763" spans="5:7" ht="15.75" customHeight="1">
      <c r="E763" s="18"/>
      <c r="F763" s="18"/>
      <c r="G763" s="301"/>
    </row>
    <row r="764" spans="5:7" ht="15.75" customHeight="1">
      <c r="E764" s="18"/>
      <c r="F764" s="18"/>
      <c r="G764" s="301"/>
    </row>
    <row r="765" spans="5:7" ht="15.75" customHeight="1">
      <c r="E765" s="18"/>
      <c r="F765" s="18"/>
      <c r="G765" s="301"/>
    </row>
    <row r="766" spans="5:7" ht="15.75" customHeight="1">
      <c r="E766" s="18"/>
      <c r="F766" s="18"/>
      <c r="G766" s="301"/>
    </row>
    <row r="767" spans="5:7" ht="15.75" customHeight="1">
      <c r="E767" s="18"/>
      <c r="F767" s="18"/>
      <c r="G767" s="301"/>
    </row>
    <row r="768" spans="5:7" ht="15.75" customHeight="1">
      <c r="E768" s="18"/>
      <c r="F768" s="18"/>
      <c r="G768" s="301"/>
    </row>
    <row r="769" spans="5:7" ht="15.75" customHeight="1">
      <c r="E769" s="18"/>
      <c r="F769" s="18"/>
      <c r="G769" s="301"/>
    </row>
    <row r="770" spans="5:7" ht="15.75" customHeight="1">
      <c r="E770" s="18"/>
      <c r="F770" s="18"/>
      <c r="G770" s="301"/>
    </row>
    <row r="771" spans="5:7" ht="15.75" customHeight="1">
      <c r="E771" s="18"/>
      <c r="F771" s="18"/>
      <c r="G771" s="301"/>
    </row>
    <row r="772" spans="5:7" ht="15.75" customHeight="1">
      <c r="E772" s="18"/>
      <c r="F772" s="18"/>
      <c r="G772" s="301"/>
    </row>
    <row r="773" spans="5:7" ht="15.75" customHeight="1">
      <c r="E773" s="18"/>
      <c r="F773" s="18"/>
      <c r="G773" s="301"/>
    </row>
    <row r="774" spans="5:7" ht="15.75" customHeight="1">
      <c r="E774" s="18"/>
      <c r="F774" s="18"/>
      <c r="G774" s="301"/>
    </row>
    <row r="775" spans="5:7" ht="15.75" customHeight="1">
      <c r="E775" s="18"/>
      <c r="F775" s="18"/>
      <c r="G775" s="301"/>
    </row>
    <row r="776" spans="5:7" ht="15.75" customHeight="1">
      <c r="E776" s="18"/>
      <c r="F776" s="18"/>
      <c r="G776" s="301"/>
    </row>
    <row r="777" spans="5:7" ht="15.75" customHeight="1">
      <c r="E777" s="18"/>
      <c r="F777" s="18"/>
      <c r="G777" s="301"/>
    </row>
    <row r="778" spans="5:7" ht="15.75" customHeight="1">
      <c r="E778" s="18"/>
      <c r="F778" s="18"/>
      <c r="G778" s="301"/>
    </row>
    <row r="779" spans="5:7" ht="15.75" customHeight="1">
      <c r="E779" s="18"/>
      <c r="F779" s="18"/>
      <c r="G779" s="301"/>
    </row>
    <row r="780" spans="5:7" ht="15.75" customHeight="1">
      <c r="E780" s="18"/>
      <c r="F780" s="18"/>
      <c r="G780" s="301"/>
    </row>
    <row r="781" spans="5:7" ht="15.75" customHeight="1">
      <c r="E781" s="18"/>
      <c r="F781" s="18"/>
      <c r="G781" s="301"/>
    </row>
    <row r="782" spans="5:7" ht="15.75" customHeight="1">
      <c r="E782" s="18"/>
      <c r="F782" s="18"/>
      <c r="G782" s="301"/>
    </row>
    <row r="783" spans="5:7" ht="15.75" customHeight="1">
      <c r="E783" s="18"/>
      <c r="F783" s="18"/>
      <c r="G783" s="301"/>
    </row>
    <row r="784" spans="5:7" ht="15.75" customHeight="1">
      <c r="E784" s="18"/>
      <c r="F784" s="18"/>
      <c r="G784" s="301"/>
    </row>
    <row r="785" spans="5:7" ht="15.75" customHeight="1">
      <c r="E785" s="18"/>
      <c r="F785" s="18"/>
      <c r="G785" s="301"/>
    </row>
    <row r="786" spans="5:7" ht="15.75" customHeight="1">
      <c r="E786" s="18"/>
      <c r="F786" s="18"/>
      <c r="G786" s="301"/>
    </row>
    <row r="787" spans="5:7" ht="15.75" customHeight="1">
      <c r="E787" s="18"/>
      <c r="F787" s="18"/>
      <c r="G787" s="301"/>
    </row>
    <row r="788" spans="5:7" ht="15.75" customHeight="1">
      <c r="E788" s="18"/>
      <c r="F788" s="18"/>
      <c r="G788" s="301"/>
    </row>
    <row r="789" spans="5:7" ht="15.75" customHeight="1">
      <c r="E789" s="18"/>
      <c r="F789" s="18"/>
      <c r="G789" s="301"/>
    </row>
    <row r="790" spans="5:7" ht="15.75" customHeight="1">
      <c r="E790" s="18"/>
      <c r="F790" s="18"/>
      <c r="G790" s="301"/>
    </row>
    <row r="791" spans="5:7" ht="15.75" customHeight="1">
      <c r="E791" s="18"/>
      <c r="F791" s="18"/>
      <c r="G791" s="301"/>
    </row>
    <row r="792" spans="5:7" ht="15.75" customHeight="1">
      <c r="E792" s="18"/>
      <c r="F792" s="18"/>
      <c r="G792" s="301"/>
    </row>
    <row r="793" spans="5:7" ht="15.75" customHeight="1">
      <c r="E793" s="18"/>
      <c r="F793" s="18"/>
      <c r="G793" s="301"/>
    </row>
    <row r="794" spans="5:7" ht="15.75" customHeight="1">
      <c r="E794" s="18"/>
      <c r="F794" s="18"/>
      <c r="G794" s="301"/>
    </row>
    <row r="795" spans="5:7" ht="15.75" customHeight="1">
      <c r="E795" s="18"/>
      <c r="F795" s="18"/>
      <c r="G795" s="301"/>
    </row>
    <row r="796" spans="5:7" ht="15.75" customHeight="1">
      <c r="E796" s="18"/>
      <c r="F796" s="18"/>
      <c r="G796" s="301"/>
    </row>
    <row r="797" spans="5:7" ht="15.75" customHeight="1">
      <c r="E797" s="18"/>
      <c r="F797" s="18"/>
      <c r="G797" s="301"/>
    </row>
    <row r="798" spans="5:7" ht="15.75" customHeight="1">
      <c r="E798" s="18"/>
      <c r="F798" s="18"/>
      <c r="G798" s="301"/>
    </row>
    <row r="799" spans="5:7" ht="15.75" customHeight="1">
      <c r="E799" s="18"/>
      <c r="F799" s="18"/>
      <c r="G799" s="301"/>
    </row>
    <row r="800" spans="5:7" ht="15.75" customHeight="1">
      <c r="E800" s="18"/>
      <c r="F800" s="18"/>
      <c r="G800" s="301"/>
    </row>
    <row r="801" spans="5:7" ht="15.75" customHeight="1">
      <c r="E801" s="18"/>
      <c r="F801" s="18"/>
      <c r="G801" s="301"/>
    </row>
    <row r="802" spans="5:7" ht="15.75" customHeight="1">
      <c r="E802" s="18"/>
      <c r="F802" s="18"/>
      <c r="G802" s="301"/>
    </row>
    <row r="803" spans="5:7" ht="15.75" customHeight="1">
      <c r="E803" s="18"/>
      <c r="F803" s="18"/>
      <c r="G803" s="301"/>
    </row>
    <row r="804" spans="5:7" ht="15.75" customHeight="1">
      <c r="E804" s="18"/>
      <c r="F804" s="18"/>
      <c r="G804" s="301"/>
    </row>
    <row r="805" spans="5:7" ht="15.75" customHeight="1">
      <c r="E805" s="18"/>
      <c r="F805" s="18"/>
      <c r="G805" s="301"/>
    </row>
    <row r="806" spans="5:7" ht="15.75" customHeight="1">
      <c r="E806" s="18"/>
      <c r="F806" s="18"/>
      <c r="G806" s="301"/>
    </row>
    <row r="807" spans="5:7" ht="15.75" customHeight="1">
      <c r="E807" s="18"/>
      <c r="F807" s="18"/>
      <c r="G807" s="301"/>
    </row>
    <row r="808" spans="5:7" ht="15.75" customHeight="1">
      <c r="E808" s="18"/>
      <c r="F808" s="18"/>
      <c r="G808" s="301"/>
    </row>
    <row r="809" spans="5:7" ht="15.75" customHeight="1">
      <c r="E809" s="18"/>
      <c r="F809" s="18"/>
      <c r="G809" s="301"/>
    </row>
    <row r="810" spans="5:7" ht="15.75" customHeight="1">
      <c r="E810" s="18"/>
      <c r="F810" s="18"/>
      <c r="G810" s="301"/>
    </row>
    <row r="811" spans="5:7" ht="15.75" customHeight="1">
      <c r="E811" s="18"/>
      <c r="F811" s="18"/>
      <c r="G811" s="301"/>
    </row>
    <row r="812" spans="5:7" ht="15.75" customHeight="1">
      <c r="E812" s="18"/>
      <c r="F812" s="18"/>
      <c r="G812" s="301"/>
    </row>
    <row r="813" spans="5:7" ht="15.75" customHeight="1">
      <c r="E813" s="18"/>
      <c r="F813" s="18"/>
      <c r="G813" s="301"/>
    </row>
    <row r="814" spans="5:7" ht="15.75" customHeight="1">
      <c r="E814" s="18"/>
      <c r="F814" s="18"/>
      <c r="G814" s="301"/>
    </row>
    <row r="815" spans="5:7" ht="15.75" customHeight="1">
      <c r="E815" s="18"/>
      <c r="F815" s="18"/>
      <c r="G815" s="301"/>
    </row>
    <row r="816" spans="5:7" ht="15.75" customHeight="1">
      <c r="E816" s="18"/>
      <c r="F816" s="18"/>
      <c r="G816" s="301"/>
    </row>
    <row r="817" spans="5:7" ht="15.75" customHeight="1">
      <c r="E817" s="18"/>
      <c r="F817" s="18"/>
      <c r="G817" s="301"/>
    </row>
    <row r="818" spans="5:7" ht="15.75" customHeight="1">
      <c r="E818" s="18"/>
      <c r="F818" s="18"/>
      <c r="G818" s="301"/>
    </row>
    <row r="819" spans="5:7" ht="15.75" customHeight="1">
      <c r="E819" s="18"/>
      <c r="F819" s="18"/>
      <c r="G819" s="301"/>
    </row>
    <row r="820" spans="5:7" ht="15.75" customHeight="1">
      <c r="E820" s="18"/>
      <c r="F820" s="18"/>
      <c r="G820" s="301"/>
    </row>
    <row r="821" spans="5:7" ht="15.75" customHeight="1">
      <c r="E821" s="18"/>
      <c r="F821" s="18"/>
      <c r="G821" s="301"/>
    </row>
    <row r="822" spans="5:7" ht="15.75" customHeight="1">
      <c r="E822" s="18"/>
      <c r="F822" s="18"/>
      <c r="G822" s="301"/>
    </row>
    <row r="823" spans="5:7" ht="15.75" customHeight="1">
      <c r="E823" s="18"/>
      <c r="F823" s="18"/>
      <c r="G823" s="301"/>
    </row>
    <row r="824" spans="5:7" ht="15.75" customHeight="1">
      <c r="E824" s="18"/>
      <c r="F824" s="18"/>
      <c r="G824" s="301"/>
    </row>
    <row r="825" spans="5:7" ht="15.75" customHeight="1">
      <c r="E825" s="18"/>
      <c r="F825" s="18"/>
      <c r="G825" s="301"/>
    </row>
    <row r="826" spans="5:7" ht="15.75" customHeight="1">
      <c r="E826" s="18"/>
      <c r="F826" s="18"/>
      <c r="G826" s="301"/>
    </row>
    <row r="827" spans="5:7" ht="15.75" customHeight="1">
      <c r="E827" s="18"/>
      <c r="F827" s="18"/>
      <c r="G827" s="301"/>
    </row>
    <row r="828" spans="5:7" ht="15.75" customHeight="1">
      <c r="E828" s="18"/>
      <c r="F828" s="18"/>
      <c r="G828" s="301"/>
    </row>
    <row r="829" spans="5:7" ht="15.75" customHeight="1">
      <c r="E829" s="18"/>
      <c r="F829" s="18"/>
      <c r="G829" s="301"/>
    </row>
    <row r="830" spans="5:7" ht="15.75" customHeight="1">
      <c r="E830" s="18"/>
      <c r="F830" s="18"/>
      <c r="G830" s="301"/>
    </row>
    <row r="831" spans="5:7" ht="15.75" customHeight="1">
      <c r="E831" s="18"/>
      <c r="F831" s="18"/>
      <c r="G831" s="301"/>
    </row>
    <row r="832" spans="5:7" ht="15.75" customHeight="1">
      <c r="E832" s="18"/>
      <c r="F832" s="18"/>
      <c r="G832" s="301"/>
    </row>
    <row r="833" spans="5:7" ht="15.75" customHeight="1">
      <c r="E833" s="18"/>
      <c r="F833" s="18"/>
      <c r="G833" s="301"/>
    </row>
    <row r="834" spans="5:7" ht="15.75" customHeight="1">
      <c r="E834" s="18"/>
      <c r="F834" s="18"/>
      <c r="G834" s="301"/>
    </row>
    <row r="835" spans="5:7" ht="15.75" customHeight="1">
      <c r="E835" s="18"/>
      <c r="F835" s="18"/>
      <c r="G835" s="301"/>
    </row>
    <row r="836" spans="5:7" ht="15.75" customHeight="1">
      <c r="E836" s="18"/>
      <c r="F836" s="18"/>
      <c r="G836" s="301"/>
    </row>
    <row r="837" spans="5:7" ht="15.75" customHeight="1">
      <c r="E837" s="18"/>
      <c r="F837" s="18"/>
      <c r="G837" s="301"/>
    </row>
    <row r="838" spans="5:7" ht="15.75" customHeight="1">
      <c r="E838" s="18"/>
      <c r="F838" s="18"/>
      <c r="G838" s="301"/>
    </row>
    <row r="839" spans="5:7" ht="15.75" customHeight="1">
      <c r="E839" s="18"/>
      <c r="F839" s="18"/>
      <c r="G839" s="301"/>
    </row>
    <row r="840" spans="5:7" ht="15.75" customHeight="1">
      <c r="E840" s="18"/>
      <c r="F840" s="18"/>
      <c r="G840" s="301"/>
    </row>
    <row r="841" spans="5:7" ht="15.75" customHeight="1">
      <c r="E841" s="18"/>
      <c r="F841" s="18"/>
      <c r="G841" s="301"/>
    </row>
    <row r="842" spans="5:7" ht="15.75" customHeight="1">
      <c r="E842" s="18"/>
      <c r="F842" s="18"/>
      <c r="G842" s="301"/>
    </row>
    <row r="843" spans="5:7" ht="15.75" customHeight="1">
      <c r="E843" s="18"/>
      <c r="F843" s="18"/>
      <c r="G843" s="301"/>
    </row>
    <row r="844" spans="5:7" ht="15.75" customHeight="1">
      <c r="E844" s="18"/>
      <c r="F844" s="18"/>
      <c r="G844" s="301"/>
    </row>
    <row r="845" spans="5:7" ht="15.75" customHeight="1">
      <c r="E845" s="18"/>
      <c r="F845" s="18"/>
      <c r="G845" s="301"/>
    </row>
    <row r="846" spans="5:7" ht="15.75" customHeight="1">
      <c r="E846" s="18"/>
      <c r="F846" s="18"/>
      <c r="G846" s="301"/>
    </row>
    <row r="847" spans="5:7" ht="15.75" customHeight="1">
      <c r="E847" s="18"/>
      <c r="F847" s="18"/>
      <c r="G847" s="301"/>
    </row>
    <row r="848" spans="5:7" ht="15.75" customHeight="1">
      <c r="E848" s="18"/>
      <c r="F848" s="18"/>
      <c r="G848" s="301"/>
    </row>
    <row r="849" spans="5:7" ht="15.75" customHeight="1">
      <c r="E849" s="18"/>
      <c r="F849" s="18"/>
      <c r="G849" s="301"/>
    </row>
    <row r="850" spans="5:7" ht="15.75" customHeight="1">
      <c r="E850" s="18"/>
      <c r="F850" s="18"/>
      <c r="G850" s="301"/>
    </row>
    <row r="851" spans="5:7" ht="15.75" customHeight="1">
      <c r="E851" s="18"/>
      <c r="F851" s="18"/>
      <c r="G851" s="301"/>
    </row>
    <row r="852" spans="5:7" ht="15.75" customHeight="1">
      <c r="E852" s="18"/>
      <c r="F852" s="18"/>
      <c r="G852" s="301"/>
    </row>
    <row r="853" spans="5:7" ht="15.75" customHeight="1">
      <c r="E853" s="18"/>
      <c r="F853" s="18"/>
      <c r="G853" s="301"/>
    </row>
    <row r="854" spans="5:7" ht="15.75" customHeight="1">
      <c r="E854" s="18"/>
      <c r="F854" s="18"/>
      <c r="G854" s="301"/>
    </row>
    <row r="855" spans="5:7" ht="15.75" customHeight="1">
      <c r="E855" s="18"/>
      <c r="F855" s="18"/>
      <c r="G855" s="301"/>
    </row>
    <row r="856" spans="5:7" ht="15.75" customHeight="1">
      <c r="E856" s="18"/>
      <c r="F856" s="18"/>
      <c r="G856" s="301"/>
    </row>
    <row r="857" spans="5:7" ht="15.75" customHeight="1">
      <c r="E857" s="18"/>
      <c r="F857" s="18"/>
      <c r="G857" s="301"/>
    </row>
    <row r="858" spans="5:7" ht="15.75" customHeight="1">
      <c r="E858" s="18"/>
      <c r="F858" s="18"/>
      <c r="G858" s="301"/>
    </row>
    <row r="859" spans="5:7" ht="15.75" customHeight="1">
      <c r="E859" s="18"/>
      <c r="F859" s="18"/>
      <c r="G859" s="301"/>
    </row>
    <row r="860" spans="5:7" ht="15.75" customHeight="1">
      <c r="E860" s="18"/>
      <c r="F860" s="18"/>
      <c r="G860" s="301"/>
    </row>
    <row r="861" spans="5:7" ht="15.75" customHeight="1">
      <c r="E861" s="18"/>
      <c r="F861" s="18"/>
      <c r="G861" s="301"/>
    </row>
    <row r="862" spans="5:7" ht="15.75" customHeight="1">
      <c r="E862" s="18"/>
      <c r="F862" s="18"/>
      <c r="G862" s="301"/>
    </row>
    <row r="863" spans="5:7" ht="15.75" customHeight="1">
      <c r="E863" s="18"/>
      <c r="F863" s="18"/>
      <c r="G863" s="301"/>
    </row>
    <row r="864" spans="5:7" ht="15.75" customHeight="1">
      <c r="E864" s="18"/>
      <c r="F864" s="18"/>
      <c r="G864" s="301"/>
    </row>
    <row r="865" spans="5:7" ht="15.75" customHeight="1">
      <c r="E865" s="18"/>
      <c r="F865" s="18"/>
      <c r="G865" s="301"/>
    </row>
    <row r="866" spans="5:7" ht="15.75" customHeight="1">
      <c r="E866" s="18"/>
      <c r="F866" s="18"/>
      <c r="G866" s="301"/>
    </row>
    <row r="867" spans="5:7" ht="15.75" customHeight="1">
      <c r="E867" s="18"/>
      <c r="F867" s="18"/>
      <c r="G867" s="301"/>
    </row>
    <row r="868" spans="5:7" ht="15.75" customHeight="1">
      <c r="E868" s="18"/>
      <c r="F868" s="18"/>
      <c r="G868" s="301"/>
    </row>
    <row r="869" spans="5:7" ht="15.75" customHeight="1">
      <c r="E869" s="18"/>
      <c r="F869" s="18"/>
      <c r="G869" s="301"/>
    </row>
    <row r="870" spans="5:7" ht="15.75" customHeight="1">
      <c r="E870" s="18"/>
      <c r="F870" s="18"/>
      <c r="G870" s="301"/>
    </row>
    <row r="871" spans="5:7" ht="15.75" customHeight="1">
      <c r="E871" s="18"/>
      <c r="F871" s="18"/>
      <c r="G871" s="301"/>
    </row>
    <row r="872" spans="5:7" ht="15.75" customHeight="1">
      <c r="E872" s="18"/>
      <c r="F872" s="18"/>
      <c r="G872" s="301"/>
    </row>
    <row r="873" spans="5:7" ht="15.75" customHeight="1">
      <c r="E873" s="18"/>
      <c r="F873" s="18"/>
      <c r="G873" s="301"/>
    </row>
    <row r="874" spans="5:7" ht="15.75" customHeight="1">
      <c r="E874" s="18"/>
      <c r="F874" s="18"/>
      <c r="G874" s="301"/>
    </row>
    <row r="875" spans="5:7" ht="15.75" customHeight="1">
      <c r="E875" s="18"/>
      <c r="F875" s="18"/>
      <c r="G875" s="301"/>
    </row>
    <row r="876" spans="5:7" ht="15.75" customHeight="1">
      <c r="E876" s="18"/>
      <c r="F876" s="18"/>
      <c r="G876" s="301"/>
    </row>
    <row r="877" spans="5:7" ht="15.75" customHeight="1">
      <c r="E877" s="18"/>
      <c r="F877" s="18"/>
      <c r="G877" s="301"/>
    </row>
    <row r="878" spans="5:7" ht="15.75" customHeight="1">
      <c r="E878" s="18"/>
      <c r="F878" s="18"/>
      <c r="G878" s="301"/>
    </row>
    <row r="879" spans="5:7" ht="15.75" customHeight="1">
      <c r="E879" s="18"/>
      <c r="F879" s="18"/>
      <c r="G879" s="301"/>
    </row>
    <row r="880" spans="5:7" ht="15.75" customHeight="1">
      <c r="E880" s="18"/>
      <c r="F880" s="18"/>
      <c r="G880" s="301"/>
    </row>
    <row r="881" spans="4:7" ht="15.75" customHeight="1">
      <c r="E881" s="18"/>
      <c r="F881" s="18"/>
      <c r="G881" s="301"/>
    </row>
    <row r="882" spans="4:7" ht="15.75" customHeight="1">
      <c r="E882" s="18"/>
      <c r="F882" s="18"/>
      <c r="G882" s="301"/>
    </row>
    <row r="883" spans="4:7" ht="15.75" customHeight="1">
      <c r="E883" s="18"/>
      <c r="F883" s="18"/>
      <c r="G883" s="301"/>
    </row>
    <row r="884" spans="4:7" ht="15.75" customHeight="1">
      <c r="E884" s="18"/>
      <c r="F884" s="18"/>
      <c r="G884" s="301"/>
    </row>
    <row r="885" spans="4:7" ht="15.75" customHeight="1">
      <c r="E885" s="18"/>
      <c r="F885" s="18"/>
      <c r="G885" s="301"/>
    </row>
    <row r="886" spans="4:7" ht="15.75" customHeight="1">
      <c r="E886" s="18"/>
      <c r="F886" s="18"/>
      <c r="G886" s="301"/>
    </row>
    <row r="887" spans="4:7" ht="15.75" customHeight="1">
      <c r="E887" s="18"/>
      <c r="F887" s="18"/>
      <c r="G887" s="301"/>
    </row>
    <row r="888" spans="4:7" ht="15.75" customHeight="1">
      <c r="E888" s="18"/>
      <c r="F888" s="18"/>
      <c r="G888" s="301"/>
    </row>
    <row r="889" spans="4:7" ht="15.75" customHeight="1">
      <c r="E889" s="18"/>
      <c r="F889" s="18"/>
      <c r="G889" s="301"/>
    </row>
    <row r="890" spans="4:7" ht="15.75" customHeight="1">
      <c r="E890" s="18"/>
      <c r="F890" s="18"/>
      <c r="G890" s="301"/>
    </row>
    <row r="891" spans="4:7" ht="15.75" customHeight="1">
      <c r="E891" s="18"/>
      <c r="F891" s="18"/>
      <c r="G891" s="301"/>
    </row>
    <row r="892" spans="4:7" ht="15.75" customHeight="1">
      <c r="E892" s="18"/>
      <c r="F892" s="18"/>
      <c r="G892" s="301"/>
    </row>
    <row r="893" spans="4:7" ht="15.75" customHeight="1">
      <c r="E893" s="18"/>
      <c r="F893" s="18"/>
      <c r="G893" s="301"/>
    </row>
    <row r="894" spans="4:7" ht="15.75" customHeight="1">
      <c r="D894" s="46" t="s">
        <v>513</v>
      </c>
      <c r="E894" s="18"/>
      <c r="F894" s="18"/>
      <c r="G894" s="301"/>
    </row>
  </sheetData>
  <mergeCells count="2">
    <mergeCell ref="A1:F1"/>
    <mergeCell ref="H1:M1"/>
  </mergeCells>
  <pageMargins left="0.511811024" right="0.511811024" top="0.78740157499999996" bottom="0.78740157499999996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  <outlinePr summaryBelow="0" summaryRight="0"/>
  </sheetPr>
  <dimension ref="A1:AA1008"/>
  <sheetViews>
    <sheetView topLeftCell="A22" workbookViewId="0">
      <selection activeCell="A43" sqref="A43:XFD43"/>
    </sheetView>
  </sheetViews>
  <sheetFormatPr defaultColWidth="14.453125" defaultRowHeight="15" customHeight="1"/>
  <cols>
    <col min="1" max="1" width="3.7265625" customWidth="1"/>
    <col min="2" max="2" width="79.7265625" customWidth="1"/>
    <col min="3" max="3" width="38.08984375" customWidth="1"/>
    <col min="4" max="4" width="38.7265625" customWidth="1"/>
    <col min="5" max="5" width="13.453125" customWidth="1"/>
    <col min="6" max="6" width="142.7265625" customWidth="1"/>
    <col min="7" max="7" width="187.08984375" customWidth="1"/>
    <col min="8" max="8" width="47.7265625" customWidth="1"/>
  </cols>
  <sheetData>
    <row r="1" spans="1:27" ht="15.5">
      <c r="A1" s="1" t="s">
        <v>514</v>
      </c>
      <c r="B1" s="1" t="s">
        <v>1</v>
      </c>
      <c r="C1" s="2" t="s">
        <v>2</v>
      </c>
      <c r="D1" s="1" t="s">
        <v>27</v>
      </c>
      <c r="E1" s="149"/>
      <c r="F1" s="1" t="s">
        <v>41</v>
      </c>
      <c r="G1" s="228"/>
      <c r="H1" s="228"/>
      <c r="I1" s="228"/>
      <c r="J1" s="230"/>
      <c r="K1" s="230"/>
      <c r="L1" s="230"/>
      <c r="M1" s="230"/>
      <c r="N1" s="230"/>
      <c r="O1" s="230"/>
      <c r="P1" s="230"/>
      <c r="Q1" s="230"/>
      <c r="R1" s="230"/>
      <c r="S1" s="302"/>
      <c r="T1" s="3"/>
      <c r="U1" s="3"/>
      <c r="V1" s="3"/>
      <c r="W1" s="3"/>
      <c r="X1" s="3"/>
      <c r="Y1" s="3"/>
      <c r="Z1" s="3"/>
      <c r="AA1" s="3"/>
    </row>
    <row r="2" spans="1:27" ht="15.5">
      <c r="A2" s="4">
        <v>1</v>
      </c>
      <c r="B2" s="9" t="s">
        <v>515</v>
      </c>
      <c r="C2" s="31" t="s">
        <v>516</v>
      </c>
      <c r="D2" s="199"/>
      <c r="E2" s="7" t="s">
        <v>30</v>
      </c>
      <c r="F2" s="53"/>
      <c r="G2" s="228"/>
      <c r="H2" s="228"/>
      <c r="I2" s="228"/>
      <c r="J2" s="241"/>
      <c r="K2" s="240"/>
      <c r="L2" s="240"/>
      <c r="M2" s="240"/>
      <c r="N2" s="241"/>
      <c r="O2" s="241"/>
      <c r="P2" s="241"/>
      <c r="Q2" s="241"/>
      <c r="R2" s="241"/>
      <c r="S2" s="241"/>
      <c r="T2" s="3"/>
      <c r="U2" s="3"/>
      <c r="V2" s="3"/>
      <c r="W2" s="3"/>
      <c r="X2" s="3"/>
      <c r="Y2" s="3"/>
      <c r="Z2" s="3"/>
      <c r="AA2" s="3"/>
    </row>
    <row r="3" spans="1:27" ht="15.5">
      <c r="A3" s="8">
        <v>2</v>
      </c>
      <c r="B3" s="9" t="s">
        <v>517</v>
      </c>
      <c r="C3" s="31" t="s">
        <v>518</v>
      </c>
      <c r="D3" s="303"/>
      <c r="E3" s="7" t="s">
        <v>30</v>
      </c>
      <c r="F3" s="53"/>
      <c r="G3" s="228"/>
      <c r="H3" s="228"/>
      <c r="I3" s="228"/>
      <c r="J3" s="241"/>
      <c r="K3" s="240"/>
      <c r="L3" s="241"/>
      <c r="M3" s="241"/>
      <c r="N3" s="241"/>
      <c r="O3" s="240"/>
      <c r="P3" s="241"/>
      <c r="Q3" s="241"/>
      <c r="R3" s="240"/>
      <c r="S3" s="240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55">
        <v>4</v>
      </c>
      <c r="B4" s="56" t="s">
        <v>519</v>
      </c>
      <c r="C4" s="23" t="s">
        <v>520</v>
      </c>
      <c r="D4" s="23"/>
      <c r="E4" s="23" t="s">
        <v>78</v>
      </c>
      <c r="F4" s="166"/>
      <c r="G4" s="304"/>
      <c r="H4" s="304"/>
      <c r="I4" s="304"/>
      <c r="J4" s="305"/>
      <c r="K4" s="305"/>
      <c r="L4" s="306"/>
      <c r="M4" s="306"/>
      <c r="N4" s="306"/>
      <c r="O4" s="305"/>
      <c r="P4" s="305"/>
      <c r="Q4" s="306"/>
      <c r="R4" s="306"/>
      <c r="S4" s="305"/>
      <c r="T4" s="63"/>
      <c r="U4" s="63"/>
      <c r="V4" s="63"/>
      <c r="W4" s="63"/>
      <c r="X4" s="63"/>
      <c r="Y4" s="63"/>
      <c r="Z4" s="63"/>
      <c r="AA4" s="63"/>
    </row>
    <row r="5" spans="1:27" ht="15.5">
      <c r="A5" s="55">
        <v>5</v>
      </c>
      <c r="B5" s="23" t="s">
        <v>521</v>
      </c>
      <c r="C5" s="23" t="s">
        <v>522</v>
      </c>
      <c r="D5" s="307"/>
      <c r="E5" s="24" t="s">
        <v>78</v>
      </c>
      <c r="F5" s="166"/>
      <c r="G5" s="304"/>
      <c r="H5" s="304"/>
      <c r="I5" s="304"/>
      <c r="J5" s="305"/>
      <c r="K5" s="305"/>
      <c r="L5" s="306"/>
      <c r="M5" s="306"/>
      <c r="N5" s="306"/>
      <c r="O5" s="305"/>
      <c r="P5" s="305"/>
      <c r="Q5" s="306"/>
      <c r="R5" s="306"/>
      <c r="S5" s="305"/>
      <c r="T5" s="63"/>
      <c r="U5" s="63"/>
      <c r="V5" s="63"/>
      <c r="W5" s="63"/>
      <c r="X5" s="63"/>
      <c r="Y5" s="63"/>
      <c r="Z5" s="63"/>
      <c r="AA5" s="63"/>
    </row>
    <row r="6" spans="1:27" ht="15.5">
      <c r="A6" s="55">
        <v>6</v>
      </c>
      <c r="B6" s="23" t="s">
        <v>523</v>
      </c>
      <c r="C6" s="69" t="s">
        <v>524</v>
      </c>
      <c r="D6" s="308"/>
      <c r="E6" s="24" t="s">
        <v>78</v>
      </c>
      <c r="F6" s="166"/>
      <c r="G6" s="304"/>
      <c r="H6" s="304"/>
      <c r="I6" s="304"/>
      <c r="J6" s="305"/>
      <c r="K6" s="305"/>
      <c r="L6" s="306"/>
      <c r="M6" s="306"/>
      <c r="N6" s="306"/>
      <c r="O6" s="305"/>
      <c r="P6" s="305"/>
      <c r="Q6" s="306"/>
      <c r="R6" s="306"/>
      <c r="S6" s="305"/>
      <c r="T6" s="63"/>
      <c r="U6" s="63"/>
      <c r="V6" s="63"/>
      <c r="W6" s="63"/>
      <c r="X6" s="63"/>
      <c r="Y6" s="63"/>
      <c r="Z6" s="63"/>
      <c r="AA6" s="63"/>
    </row>
    <row r="7" spans="1:27" ht="15.5">
      <c r="A7" s="55">
        <v>7</v>
      </c>
      <c r="B7" s="23" t="s">
        <v>525</v>
      </c>
      <c r="C7" s="23" t="s">
        <v>526</v>
      </c>
      <c r="D7" s="308"/>
      <c r="E7" s="24" t="s">
        <v>78</v>
      </c>
      <c r="F7" s="166"/>
      <c r="G7" s="304"/>
      <c r="H7" s="304"/>
      <c r="I7" s="304"/>
      <c r="J7" s="305"/>
      <c r="K7" s="305"/>
      <c r="L7" s="306"/>
      <c r="M7" s="306"/>
      <c r="N7" s="306"/>
      <c r="O7" s="305"/>
      <c r="P7" s="305"/>
      <c r="Q7" s="306"/>
      <c r="R7" s="306"/>
      <c r="S7" s="305"/>
      <c r="T7" s="63"/>
      <c r="U7" s="63"/>
      <c r="V7" s="63"/>
      <c r="W7" s="63"/>
      <c r="X7" s="63"/>
      <c r="Y7" s="63"/>
      <c r="Z7" s="63"/>
      <c r="AA7" s="63"/>
    </row>
    <row r="8" spans="1:27" ht="15.5">
      <c r="A8" s="55">
        <v>8</v>
      </c>
      <c r="B8" s="23" t="s">
        <v>527</v>
      </c>
      <c r="C8" s="23" t="s">
        <v>528</v>
      </c>
      <c r="D8" s="308"/>
      <c r="E8" s="24"/>
      <c r="F8" s="166"/>
      <c r="G8" s="304"/>
      <c r="H8" s="304"/>
      <c r="I8" s="304"/>
      <c r="J8" s="305"/>
      <c r="K8" s="305"/>
      <c r="L8" s="306"/>
      <c r="M8" s="306"/>
      <c r="N8" s="306"/>
      <c r="O8" s="305"/>
      <c r="P8" s="305"/>
      <c r="Q8" s="306"/>
      <c r="R8" s="306"/>
      <c r="S8" s="305"/>
      <c r="T8" s="63"/>
      <c r="U8" s="63"/>
      <c r="V8" s="63"/>
      <c r="W8" s="63"/>
      <c r="X8" s="63"/>
      <c r="Y8" s="63"/>
      <c r="Z8" s="63"/>
      <c r="AA8" s="63"/>
    </row>
    <row r="9" spans="1:27" ht="15.5">
      <c r="A9" s="77">
        <v>10</v>
      </c>
      <c r="B9" s="259" t="s">
        <v>529</v>
      </c>
      <c r="C9" s="88" t="s">
        <v>530</v>
      </c>
      <c r="D9" s="168"/>
      <c r="E9" s="42" t="s">
        <v>17</v>
      </c>
      <c r="F9" s="93"/>
      <c r="G9" s="228"/>
      <c r="H9" s="228"/>
      <c r="I9" s="228"/>
      <c r="J9" s="240"/>
      <c r="K9" s="240"/>
      <c r="L9" s="241"/>
      <c r="M9" s="241"/>
      <c r="N9" s="241"/>
      <c r="O9" s="241"/>
      <c r="P9" s="241"/>
      <c r="Q9" s="241"/>
      <c r="R9" s="241"/>
      <c r="S9" s="240"/>
      <c r="T9" s="3"/>
      <c r="U9" s="3"/>
      <c r="V9" s="3"/>
      <c r="W9" s="3"/>
      <c r="X9" s="3"/>
      <c r="Y9" s="3"/>
      <c r="Z9" s="3"/>
      <c r="AA9" s="3"/>
    </row>
    <row r="10" spans="1:27" ht="15.5">
      <c r="A10" s="283">
        <v>11</v>
      </c>
      <c r="B10" s="259" t="s">
        <v>531</v>
      </c>
      <c r="C10" s="259" t="s">
        <v>532</v>
      </c>
      <c r="D10" s="309"/>
      <c r="E10" s="84" t="s">
        <v>17</v>
      </c>
      <c r="F10" s="93"/>
      <c r="G10" s="228"/>
      <c r="H10" s="228"/>
      <c r="I10" s="228"/>
      <c r="J10" s="240"/>
      <c r="K10" s="240"/>
      <c r="L10" s="241"/>
      <c r="M10" s="241"/>
      <c r="N10" s="241"/>
      <c r="O10" s="241"/>
      <c r="P10" s="241"/>
      <c r="Q10" s="241"/>
      <c r="R10" s="241"/>
      <c r="S10" s="240"/>
      <c r="T10" s="3"/>
      <c r="U10" s="3"/>
      <c r="V10" s="3"/>
      <c r="W10" s="3"/>
      <c r="X10" s="3"/>
      <c r="Y10" s="3"/>
      <c r="Z10" s="3"/>
      <c r="AA10" s="3"/>
    </row>
    <row r="11" spans="1:27" ht="15.5">
      <c r="A11" s="77">
        <v>12</v>
      </c>
      <c r="B11" s="310" t="s">
        <v>533</v>
      </c>
      <c r="C11" s="310" t="s">
        <v>534</v>
      </c>
      <c r="D11" s="76"/>
      <c r="E11" s="27" t="s">
        <v>17</v>
      </c>
      <c r="F11" s="16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27" ht="15.5">
      <c r="A12" s="38">
        <v>13</v>
      </c>
      <c r="B12" s="116" t="s">
        <v>535</v>
      </c>
      <c r="C12" s="311" t="s">
        <v>536</v>
      </c>
      <c r="D12" s="42"/>
      <c r="E12" s="42" t="s">
        <v>17</v>
      </c>
      <c r="F12" s="93"/>
      <c r="G12" s="228"/>
      <c r="H12" s="228"/>
      <c r="I12" s="228"/>
      <c r="J12" s="240"/>
      <c r="K12" s="240"/>
      <c r="L12" s="241"/>
      <c r="M12" s="241"/>
      <c r="N12" s="241"/>
      <c r="O12" s="241"/>
      <c r="P12" s="241"/>
      <c r="Q12" s="241"/>
      <c r="R12" s="241"/>
      <c r="S12" s="240"/>
      <c r="T12" s="3"/>
      <c r="U12" s="3"/>
      <c r="V12" s="3"/>
      <c r="W12" s="3"/>
      <c r="X12" s="3"/>
      <c r="Y12" s="3"/>
      <c r="Z12" s="3"/>
      <c r="AA12" s="3"/>
    </row>
    <row r="13" spans="1:27" ht="17.25" customHeight="1">
      <c r="A13" s="38">
        <v>14</v>
      </c>
      <c r="B13" s="116" t="s">
        <v>537</v>
      </c>
      <c r="C13" s="311" t="s">
        <v>538</v>
      </c>
      <c r="D13" s="168"/>
      <c r="E13" s="42" t="s">
        <v>7</v>
      </c>
      <c r="F13" s="93"/>
      <c r="G13" s="228"/>
      <c r="H13" s="228"/>
      <c r="I13" s="228"/>
      <c r="J13" s="240"/>
      <c r="K13" s="240"/>
      <c r="L13" s="241"/>
      <c r="M13" s="241"/>
      <c r="N13" s="241"/>
      <c r="O13" s="241"/>
      <c r="P13" s="241"/>
      <c r="Q13" s="241"/>
      <c r="R13" s="241"/>
      <c r="S13" s="240"/>
      <c r="T13" s="3"/>
      <c r="U13" s="3"/>
      <c r="V13" s="3"/>
      <c r="W13" s="3"/>
      <c r="X13" s="3"/>
      <c r="Y13" s="3"/>
      <c r="Z13" s="3"/>
      <c r="AA13" s="3"/>
    </row>
    <row r="14" spans="1:27" ht="15.5">
      <c r="A14" s="38">
        <v>15</v>
      </c>
      <c r="B14" s="116" t="s">
        <v>539</v>
      </c>
      <c r="C14" s="116" t="s">
        <v>540</v>
      </c>
      <c r="D14" s="84"/>
      <c r="E14" s="27" t="s">
        <v>17</v>
      </c>
      <c r="F14" s="93"/>
      <c r="G14" s="198"/>
      <c r="H14" s="228"/>
      <c r="I14" s="228"/>
      <c r="J14" s="240"/>
      <c r="K14" s="241"/>
      <c r="L14" s="241"/>
      <c r="M14" s="241"/>
      <c r="N14" s="240"/>
      <c r="O14" s="241"/>
      <c r="P14" s="241"/>
      <c r="Q14" s="241"/>
      <c r="R14" s="241"/>
      <c r="S14" s="241"/>
      <c r="T14" s="3"/>
      <c r="U14" s="3"/>
      <c r="V14" s="3"/>
      <c r="W14" s="3"/>
      <c r="X14" s="3"/>
      <c r="Y14" s="3"/>
      <c r="Z14" s="3"/>
      <c r="AA14" s="3"/>
    </row>
    <row r="15" spans="1:27" ht="15.5">
      <c r="A15" s="38">
        <v>16</v>
      </c>
      <c r="B15" s="116" t="s">
        <v>541</v>
      </c>
      <c r="C15" s="116" t="s">
        <v>542</v>
      </c>
      <c r="D15" s="76"/>
      <c r="E15" s="27" t="s">
        <v>17</v>
      </c>
      <c r="F15" s="312"/>
      <c r="G15" s="228"/>
      <c r="H15" s="228"/>
      <c r="I15" s="228"/>
      <c r="J15" s="241"/>
      <c r="K15" s="241"/>
      <c r="L15" s="240"/>
      <c r="M15" s="241"/>
      <c r="N15" s="240"/>
      <c r="O15" s="241"/>
      <c r="P15" s="240"/>
      <c r="Q15" s="241"/>
      <c r="R15" s="241"/>
      <c r="S15" s="241"/>
      <c r="T15" s="3"/>
      <c r="U15" s="3"/>
      <c r="V15" s="3"/>
      <c r="W15" s="3"/>
      <c r="X15" s="3"/>
      <c r="Y15" s="3"/>
      <c r="Z15" s="3"/>
      <c r="AA15" s="3"/>
    </row>
    <row r="16" spans="1:27" ht="15.5">
      <c r="A16" s="38">
        <v>17</v>
      </c>
      <c r="B16" s="45" t="s">
        <v>543</v>
      </c>
      <c r="C16" s="45">
        <v>83999320950</v>
      </c>
      <c r="D16" s="84"/>
      <c r="E16" s="84" t="s">
        <v>17</v>
      </c>
      <c r="F16" s="312"/>
      <c r="G16" s="313"/>
      <c r="H16" s="228"/>
      <c r="I16" s="228"/>
      <c r="J16" s="240"/>
      <c r="K16" s="241"/>
      <c r="L16" s="241"/>
      <c r="M16" s="240"/>
      <c r="N16" s="240"/>
      <c r="O16" s="240"/>
      <c r="P16" s="240"/>
      <c r="Q16" s="240"/>
      <c r="R16" s="277"/>
      <c r="S16" s="277"/>
      <c r="T16" s="3"/>
      <c r="U16" s="3"/>
      <c r="V16" s="3"/>
      <c r="W16" s="3"/>
      <c r="X16" s="3"/>
      <c r="Y16" s="3"/>
      <c r="Z16" s="3"/>
      <c r="AA16" s="3"/>
    </row>
    <row r="17" spans="1:27" ht="15.5">
      <c r="A17" s="38">
        <v>19</v>
      </c>
      <c r="B17" s="97" t="s">
        <v>544</v>
      </c>
      <c r="C17" s="114" t="s">
        <v>545</v>
      </c>
      <c r="D17" s="259"/>
      <c r="E17" s="259" t="s">
        <v>7</v>
      </c>
      <c r="F17" s="312"/>
      <c r="G17" s="313"/>
      <c r="H17" s="228"/>
      <c r="I17" s="228"/>
      <c r="J17" s="240"/>
      <c r="K17" s="241"/>
      <c r="L17" s="241"/>
      <c r="M17" s="240"/>
      <c r="N17" s="240"/>
      <c r="O17" s="240"/>
      <c r="P17" s="240"/>
      <c r="Q17" s="240"/>
      <c r="R17" s="277"/>
      <c r="S17" s="277"/>
      <c r="T17" s="3"/>
      <c r="U17" s="3"/>
      <c r="V17" s="3"/>
      <c r="W17" s="3"/>
      <c r="X17" s="3"/>
      <c r="Y17" s="3"/>
      <c r="Z17" s="3"/>
      <c r="AA17" s="3"/>
    </row>
    <row r="18" spans="1:27" ht="15.5">
      <c r="A18" s="38">
        <v>20</v>
      </c>
      <c r="B18" s="45" t="s">
        <v>546</v>
      </c>
      <c r="C18" s="45">
        <v>83996526168</v>
      </c>
      <c r="D18" s="292"/>
      <c r="E18" s="84" t="s">
        <v>17</v>
      </c>
      <c r="F18" s="312"/>
      <c r="G18" s="313"/>
      <c r="H18" s="228"/>
      <c r="I18" s="228"/>
      <c r="J18" s="240"/>
      <c r="K18" s="241"/>
      <c r="L18" s="241"/>
      <c r="M18" s="240"/>
      <c r="N18" s="240"/>
      <c r="O18" s="240"/>
      <c r="P18" s="240"/>
      <c r="Q18" s="240"/>
      <c r="R18" s="277"/>
      <c r="S18" s="277"/>
      <c r="T18" s="3"/>
      <c r="U18" s="3"/>
      <c r="V18" s="3"/>
      <c r="W18" s="3"/>
      <c r="X18" s="3"/>
      <c r="Y18" s="3"/>
      <c r="Z18" s="3"/>
      <c r="AA18" s="3"/>
    </row>
    <row r="19" spans="1:27" ht="15.5">
      <c r="A19" s="38">
        <v>21</v>
      </c>
      <c r="B19" s="45" t="s">
        <v>547</v>
      </c>
      <c r="C19" s="45">
        <v>83991113656</v>
      </c>
      <c r="D19" s="42"/>
      <c r="E19" s="42" t="s">
        <v>17</v>
      </c>
      <c r="F19" s="312"/>
      <c r="G19" s="313"/>
      <c r="H19" s="228"/>
      <c r="I19" s="228"/>
      <c r="J19" s="240"/>
      <c r="K19" s="241"/>
      <c r="L19" s="241"/>
      <c r="M19" s="240"/>
      <c r="N19" s="240"/>
      <c r="O19" s="240"/>
      <c r="P19" s="240"/>
      <c r="Q19" s="240"/>
      <c r="R19" s="277"/>
      <c r="S19" s="277"/>
      <c r="T19" s="3"/>
      <c r="U19" s="3"/>
      <c r="V19" s="3"/>
      <c r="W19" s="3"/>
      <c r="X19" s="3"/>
      <c r="Y19" s="3"/>
      <c r="Z19" s="3"/>
      <c r="AA19" s="3"/>
    </row>
    <row r="20" spans="1:27" ht="15.5">
      <c r="A20" s="38">
        <v>24</v>
      </c>
      <c r="B20" s="116" t="s">
        <v>548</v>
      </c>
      <c r="C20" s="311" t="s">
        <v>549</v>
      </c>
      <c r="D20" s="42"/>
      <c r="E20" s="42" t="s">
        <v>7</v>
      </c>
      <c r="F20" s="312"/>
      <c r="G20" s="313"/>
      <c r="H20" s="228"/>
      <c r="I20" s="228"/>
      <c r="J20" s="240"/>
      <c r="K20" s="241"/>
      <c r="L20" s="241"/>
      <c r="M20" s="240"/>
      <c r="N20" s="240"/>
      <c r="O20" s="240"/>
      <c r="P20" s="240"/>
      <c r="Q20" s="240"/>
      <c r="R20" s="277"/>
      <c r="S20" s="277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8">
        <v>25</v>
      </c>
      <c r="B21" s="116" t="s">
        <v>550</v>
      </c>
      <c r="C21" s="116" t="s">
        <v>551</v>
      </c>
      <c r="D21" s="222"/>
      <c r="E21" s="314" t="s">
        <v>7</v>
      </c>
      <c r="F21" s="312"/>
      <c r="G21" s="228"/>
      <c r="H21" s="228"/>
      <c r="I21" s="228"/>
      <c r="J21" s="240"/>
      <c r="K21" s="241"/>
      <c r="L21" s="241"/>
      <c r="M21" s="240"/>
      <c r="N21" s="240"/>
      <c r="O21" s="240"/>
      <c r="P21" s="240"/>
      <c r="Q21" s="240"/>
      <c r="R21" s="277"/>
      <c r="S21" s="277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8">
        <v>26</v>
      </c>
      <c r="B22" s="116" t="s">
        <v>552</v>
      </c>
      <c r="C22" s="116" t="s">
        <v>553</v>
      </c>
      <c r="D22" s="180"/>
      <c r="E22" s="84" t="s">
        <v>7</v>
      </c>
      <c r="F22" s="312"/>
      <c r="G22" s="228"/>
      <c r="H22" s="228"/>
      <c r="I22" s="228"/>
      <c r="J22" s="241"/>
      <c r="K22" s="241"/>
      <c r="L22" s="241"/>
      <c r="M22" s="240"/>
      <c r="N22" s="277"/>
      <c r="O22" s="277"/>
      <c r="P22" s="277"/>
      <c r="Q22" s="277"/>
      <c r="R22" s="277"/>
      <c r="S22" s="277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38">
        <v>27</v>
      </c>
      <c r="B23" s="116" t="s">
        <v>554</v>
      </c>
      <c r="C23" s="116" t="s">
        <v>555</v>
      </c>
      <c r="D23" s="309"/>
      <c r="E23" s="84" t="s">
        <v>7</v>
      </c>
      <c r="F23" s="312"/>
      <c r="G23" s="228"/>
      <c r="H23" s="228"/>
      <c r="I23" s="228"/>
      <c r="J23" s="241"/>
      <c r="K23" s="240"/>
      <c r="L23" s="240"/>
      <c r="M23" s="241"/>
      <c r="N23" s="240"/>
      <c r="O23" s="241"/>
      <c r="P23" s="241"/>
      <c r="Q23" s="241"/>
      <c r="R23" s="240"/>
      <c r="S23" s="241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8">
        <v>28</v>
      </c>
      <c r="B24" s="116" t="s">
        <v>556</v>
      </c>
      <c r="C24" s="116" t="s">
        <v>557</v>
      </c>
      <c r="D24" s="168"/>
      <c r="E24" s="42" t="s">
        <v>7</v>
      </c>
      <c r="F24" s="312"/>
      <c r="G24" s="228"/>
      <c r="H24" s="228"/>
      <c r="I24" s="228"/>
      <c r="J24" s="241"/>
      <c r="K24" s="241"/>
      <c r="L24" s="241"/>
      <c r="M24" s="241"/>
      <c r="N24" s="241"/>
      <c r="O24" s="241"/>
      <c r="P24" s="241"/>
      <c r="Q24" s="241"/>
      <c r="R24" s="241"/>
      <c r="S24" s="241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8">
        <v>29</v>
      </c>
      <c r="B25" s="116" t="s">
        <v>558</v>
      </c>
      <c r="C25" s="116" t="s">
        <v>559</v>
      </c>
      <c r="D25" s="27"/>
      <c r="E25" s="27" t="s">
        <v>7</v>
      </c>
      <c r="F25" s="312"/>
      <c r="G25" s="228"/>
      <c r="H25" s="228"/>
      <c r="I25" s="228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8">
        <v>30</v>
      </c>
      <c r="B26" s="45" t="s">
        <v>560</v>
      </c>
      <c r="C26" s="45" t="s">
        <v>561</v>
      </c>
      <c r="D26" s="27"/>
      <c r="E26" s="27" t="s">
        <v>17</v>
      </c>
      <c r="F26" s="312"/>
      <c r="G26" s="228"/>
      <c r="H26" s="228"/>
      <c r="I26" s="228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38">
        <v>31</v>
      </c>
      <c r="B27" s="116" t="s">
        <v>562</v>
      </c>
      <c r="C27" s="116" t="s">
        <v>563</v>
      </c>
      <c r="D27" s="27"/>
      <c r="E27" s="27" t="s">
        <v>17</v>
      </c>
      <c r="F27" s="312"/>
      <c r="G27" s="228"/>
      <c r="H27" s="228"/>
      <c r="I27" s="228"/>
      <c r="J27" s="241"/>
      <c r="K27" s="241"/>
      <c r="L27" s="241"/>
      <c r="M27" s="241"/>
      <c r="N27" s="240"/>
      <c r="O27" s="241"/>
      <c r="P27" s="241"/>
      <c r="Q27" s="241"/>
      <c r="R27" s="241"/>
      <c r="S27" s="241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283">
        <v>32</v>
      </c>
      <c r="B28" s="116" t="s">
        <v>564</v>
      </c>
      <c r="C28" s="116" t="s">
        <v>565</v>
      </c>
      <c r="D28" s="168"/>
      <c r="E28" s="42" t="s">
        <v>17</v>
      </c>
      <c r="F28" s="16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 spans="1:27" ht="15.75" customHeight="1">
      <c r="A29" s="38">
        <v>33</v>
      </c>
      <c r="B29" s="97" t="s">
        <v>566</v>
      </c>
      <c r="C29" s="97" t="s">
        <v>567</v>
      </c>
      <c r="D29" s="27"/>
      <c r="E29" s="27" t="s">
        <v>17</v>
      </c>
      <c r="F29" s="312"/>
      <c r="G29" s="228"/>
      <c r="H29" s="228"/>
      <c r="I29" s="228"/>
      <c r="J29" s="241"/>
      <c r="K29" s="241"/>
      <c r="L29" s="241"/>
      <c r="M29" s="241"/>
      <c r="N29" s="241"/>
      <c r="O29" s="241"/>
      <c r="P29" s="240"/>
      <c r="Q29" s="241"/>
      <c r="R29" s="240"/>
      <c r="S29" s="241"/>
      <c r="T29" s="3"/>
      <c r="U29" s="3"/>
      <c r="V29" s="3"/>
      <c r="W29" s="3"/>
      <c r="X29" s="3"/>
      <c r="Y29" s="3"/>
      <c r="Z29" s="3"/>
      <c r="AA29" s="3"/>
    </row>
    <row r="30" spans="1:27" ht="15.75" customHeight="1">
      <c r="A30" s="38">
        <v>35</v>
      </c>
      <c r="B30" s="270" t="s">
        <v>568</v>
      </c>
      <c r="C30" s="45" t="s">
        <v>569</v>
      </c>
      <c r="D30" s="274"/>
      <c r="E30" s="84" t="s">
        <v>17</v>
      </c>
      <c r="F30" s="312"/>
      <c r="G30" s="228"/>
      <c r="H30" s="228"/>
      <c r="I30" s="228"/>
      <c r="J30" s="241"/>
      <c r="K30" s="241"/>
      <c r="L30" s="241"/>
      <c r="M30" s="241"/>
      <c r="N30" s="241"/>
      <c r="O30" s="241"/>
      <c r="P30" s="240"/>
      <c r="Q30" s="241"/>
      <c r="R30" s="240"/>
      <c r="S30" s="241"/>
      <c r="T30" s="3"/>
      <c r="U30" s="3"/>
      <c r="V30" s="3"/>
      <c r="W30" s="3"/>
      <c r="X30" s="3"/>
      <c r="Y30" s="3"/>
      <c r="Z30" s="3"/>
      <c r="AA30" s="3"/>
    </row>
    <row r="31" spans="1:27" ht="15.75" customHeight="1">
      <c r="A31" s="38">
        <v>36</v>
      </c>
      <c r="B31" s="97" t="s">
        <v>570</v>
      </c>
      <c r="C31" s="116" t="s">
        <v>571</v>
      </c>
      <c r="D31" s="175"/>
      <c r="E31" s="27" t="s">
        <v>17</v>
      </c>
      <c r="F31" s="312"/>
      <c r="G31" s="228"/>
      <c r="H31" s="228"/>
      <c r="I31" s="228"/>
      <c r="J31" s="241"/>
      <c r="K31" s="241"/>
      <c r="L31" s="241"/>
      <c r="M31" s="241"/>
      <c r="N31" s="241"/>
      <c r="O31" s="241"/>
      <c r="P31" s="240"/>
      <c r="Q31" s="241"/>
      <c r="R31" s="240"/>
      <c r="S31" s="241"/>
      <c r="T31" s="3"/>
      <c r="U31" s="3"/>
      <c r="V31" s="3"/>
      <c r="W31" s="3"/>
      <c r="X31" s="3"/>
      <c r="Y31" s="3"/>
      <c r="Z31" s="3"/>
      <c r="AA31" s="3"/>
    </row>
    <row r="32" spans="1:27" ht="15.75" customHeight="1">
      <c r="A32" s="38">
        <v>37</v>
      </c>
      <c r="B32" s="116" t="s">
        <v>572</v>
      </c>
      <c r="D32" s="175"/>
      <c r="E32" s="27" t="s">
        <v>17</v>
      </c>
      <c r="F32" s="312"/>
      <c r="G32" s="228"/>
      <c r="H32" s="228"/>
      <c r="I32" s="228"/>
      <c r="J32" s="241"/>
      <c r="K32" s="241"/>
      <c r="L32" s="241"/>
      <c r="M32" s="241"/>
      <c r="N32" s="241"/>
      <c r="O32" s="241"/>
      <c r="P32" s="240"/>
      <c r="Q32" s="241"/>
      <c r="R32" s="240"/>
      <c r="S32" s="241"/>
      <c r="T32" s="3"/>
      <c r="U32" s="3"/>
      <c r="V32" s="3"/>
      <c r="W32" s="3"/>
      <c r="X32" s="3"/>
      <c r="Y32" s="3"/>
      <c r="Z32" s="3"/>
      <c r="AA32" s="3"/>
    </row>
    <row r="33" spans="1:27" ht="15.75" customHeight="1">
      <c r="A33" s="38">
        <v>38</v>
      </c>
      <c r="B33" s="116" t="s">
        <v>573</v>
      </c>
      <c r="C33" s="116" t="s">
        <v>574</v>
      </c>
      <c r="D33" s="27"/>
      <c r="E33" s="27" t="s">
        <v>7</v>
      </c>
      <c r="F33" s="312"/>
      <c r="G33" s="228"/>
      <c r="H33" s="228"/>
      <c r="I33" s="228"/>
      <c r="J33" s="241"/>
      <c r="K33" s="241"/>
      <c r="L33" s="241"/>
      <c r="M33" s="241"/>
      <c r="N33" s="241"/>
      <c r="O33" s="241"/>
      <c r="P33" s="240"/>
      <c r="Q33" s="241"/>
      <c r="R33" s="240"/>
      <c r="S33" s="241"/>
      <c r="T33" s="3"/>
      <c r="U33" s="3"/>
      <c r="V33" s="3"/>
      <c r="W33" s="3"/>
      <c r="X33" s="3"/>
      <c r="Y33" s="3"/>
      <c r="Z33" s="3"/>
      <c r="AA33" s="3"/>
    </row>
    <row r="34" spans="1:27" ht="15.75" customHeight="1">
      <c r="A34" s="38">
        <v>40</v>
      </c>
      <c r="B34" s="44" t="s">
        <v>575</v>
      </c>
      <c r="C34" s="44" t="s">
        <v>576</v>
      </c>
      <c r="D34" s="27"/>
      <c r="E34" s="27" t="s">
        <v>17</v>
      </c>
      <c r="F34" s="312"/>
      <c r="G34" s="228"/>
      <c r="H34" s="228"/>
      <c r="I34" s="228"/>
      <c r="J34" s="241"/>
      <c r="K34" s="241"/>
      <c r="L34" s="241"/>
      <c r="M34" s="241"/>
      <c r="N34" s="241"/>
      <c r="O34" s="241"/>
      <c r="P34" s="240"/>
      <c r="Q34" s="241"/>
      <c r="R34" s="240"/>
      <c r="S34" s="241"/>
      <c r="T34" s="3"/>
      <c r="U34" s="3"/>
      <c r="V34" s="3"/>
      <c r="W34" s="3"/>
      <c r="X34" s="3"/>
      <c r="Y34" s="3"/>
      <c r="Z34" s="3"/>
      <c r="AA34" s="3"/>
    </row>
    <row r="35" spans="1:27" ht="15.75" customHeight="1">
      <c r="A35" s="38">
        <v>41</v>
      </c>
      <c r="B35" s="116" t="s">
        <v>577</v>
      </c>
      <c r="C35" s="116" t="s">
        <v>578</v>
      </c>
      <c r="D35" s="27"/>
      <c r="E35" s="27" t="s">
        <v>7</v>
      </c>
      <c r="F35" s="312"/>
      <c r="G35" s="228"/>
      <c r="H35" s="228"/>
      <c r="I35" s="228"/>
      <c r="J35" s="241"/>
      <c r="K35" s="241"/>
      <c r="L35" s="241"/>
      <c r="M35" s="241"/>
      <c r="N35" s="241"/>
      <c r="O35" s="241"/>
      <c r="P35" s="240"/>
      <c r="Q35" s="241"/>
      <c r="R35" s="240"/>
      <c r="S35" s="241"/>
      <c r="T35" s="3"/>
      <c r="U35" s="3"/>
      <c r="V35" s="3"/>
      <c r="W35" s="3"/>
      <c r="X35" s="3"/>
      <c r="Y35" s="3"/>
      <c r="Z35" s="3"/>
      <c r="AA35" s="3"/>
    </row>
    <row r="36" spans="1:27" ht="15.75" customHeight="1">
      <c r="A36" s="38">
        <v>42</v>
      </c>
      <c r="B36" s="315" t="s">
        <v>579</v>
      </c>
      <c r="C36" s="315">
        <v>87991796903</v>
      </c>
      <c r="D36" s="34"/>
      <c r="E36" s="42" t="s">
        <v>17</v>
      </c>
      <c r="F36" s="312"/>
      <c r="G36" s="228"/>
      <c r="H36" s="228"/>
      <c r="I36" s="228"/>
      <c r="J36" s="241"/>
      <c r="K36" s="241"/>
      <c r="L36" s="241"/>
      <c r="M36" s="241"/>
      <c r="N36" s="241"/>
      <c r="O36" s="241"/>
      <c r="P36" s="240"/>
      <c r="Q36" s="241"/>
      <c r="R36" s="240"/>
      <c r="S36" s="241"/>
      <c r="T36" s="3"/>
      <c r="U36" s="3"/>
      <c r="V36" s="3"/>
      <c r="W36" s="3"/>
      <c r="X36" s="3"/>
      <c r="Y36" s="3"/>
      <c r="Z36" s="3"/>
      <c r="AA36" s="3"/>
    </row>
    <row r="37" spans="1:27" ht="15.75" customHeight="1">
      <c r="A37" s="38">
        <v>43</v>
      </c>
      <c r="B37" s="116" t="s">
        <v>580</v>
      </c>
      <c r="C37" s="116" t="s">
        <v>581</v>
      </c>
      <c r="D37" s="27"/>
      <c r="E37" s="27" t="s">
        <v>17</v>
      </c>
      <c r="F37" s="274"/>
      <c r="G37" s="274"/>
      <c r="H37" s="274"/>
      <c r="I37" s="274"/>
      <c r="J37" s="316"/>
      <c r="K37" s="316"/>
      <c r="L37" s="316"/>
      <c r="M37" s="316"/>
      <c r="N37" s="316"/>
      <c r="O37" s="316"/>
      <c r="P37" s="316"/>
      <c r="Q37" s="316"/>
      <c r="R37" s="316"/>
      <c r="S37" s="316"/>
      <c r="T37" s="27"/>
      <c r="U37" s="27"/>
      <c r="V37" s="27"/>
      <c r="W37" s="27"/>
      <c r="X37" s="27"/>
      <c r="Y37" s="27"/>
      <c r="Z37" s="27"/>
      <c r="AA37" s="27"/>
    </row>
    <row r="38" spans="1:27" ht="15.75" customHeight="1">
      <c r="A38" s="38">
        <v>44</v>
      </c>
      <c r="B38" s="108" t="s">
        <v>582</v>
      </c>
      <c r="C38" s="97" t="s">
        <v>583</v>
      </c>
      <c r="D38" s="27"/>
      <c r="E38" s="27" t="s">
        <v>7</v>
      </c>
      <c r="F38" s="274"/>
      <c r="G38" s="274"/>
      <c r="H38" s="274"/>
      <c r="I38" s="274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27"/>
      <c r="U38" s="27"/>
      <c r="V38" s="27"/>
      <c r="W38" s="27"/>
      <c r="X38" s="27"/>
      <c r="Y38" s="27"/>
      <c r="Z38" s="27"/>
      <c r="AA38" s="27"/>
    </row>
    <row r="39" spans="1:27" ht="15.75" customHeight="1">
      <c r="A39" s="38">
        <v>45</v>
      </c>
      <c r="B39" s="317" t="s">
        <v>584</v>
      </c>
      <c r="C39" s="318">
        <v>83993110235</v>
      </c>
      <c r="D39" s="27"/>
      <c r="E39" s="27" t="s">
        <v>7</v>
      </c>
      <c r="F39" s="274"/>
      <c r="G39" s="274"/>
      <c r="H39" s="274"/>
      <c r="I39" s="274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27"/>
      <c r="U39" s="27"/>
      <c r="V39" s="27"/>
      <c r="W39" s="27"/>
      <c r="X39" s="27"/>
      <c r="Y39" s="27"/>
      <c r="Z39" s="27"/>
      <c r="AA39" s="27"/>
    </row>
    <row r="40" spans="1:27" ht="15.75" customHeight="1">
      <c r="A40" s="38">
        <v>46</v>
      </c>
      <c r="B40" s="116" t="s">
        <v>585</v>
      </c>
      <c r="C40" s="116" t="s">
        <v>586</v>
      </c>
      <c r="D40" s="27"/>
      <c r="E40" s="27" t="s">
        <v>17</v>
      </c>
      <c r="F40" s="274"/>
      <c r="G40" s="274"/>
      <c r="H40" s="274"/>
      <c r="I40" s="274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27"/>
      <c r="U40" s="27"/>
      <c r="V40" s="27"/>
      <c r="W40" s="27"/>
      <c r="X40" s="27"/>
      <c r="Y40" s="27"/>
      <c r="Z40" s="27"/>
      <c r="AA40" s="27"/>
    </row>
    <row r="41" spans="1:27" ht="15.75" customHeight="1">
      <c r="A41" s="38">
        <v>47</v>
      </c>
      <c r="B41" s="45" t="s">
        <v>587</v>
      </c>
      <c r="C41" s="45" t="s">
        <v>588</v>
      </c>
      <c r="D41" s="27"/>
      <c r="E41" s="27" t="s">
        <v>17</v>
      </c>
      <c r="F41" s="274"/>
      <c r="G41" s="274"/>
      <c r="H41" s="274"/>
      <c r="I41" s="274"/>
      <c r="J41" s="316"/>
      <c r="K41" s="316"/>
      <c r="L41" s="316"/>
      <c r="M41" s="316"/>
      <c r="N41" s="316"/>
      <c r="O41" s="316"/>
      <c r="P41" s="316"/>
      <c r="Q41" s="316"/>
      <c r="R41" s="316"/>
      <c r="S41" s="316"/>
      <c r="T41" s="27"/>
      <c r="U41" s="27"/>
      <c r="V41" s="27"/>
      <c r="W41" s="27"/>
      <c r="X41" s="27"/>
      <c r="Y41" s="27"/>
      <c r="Z41" s="27"/>
      <c r="AA41" s="27"/>
    </row>
    <row r="42" spans="1:27" ht="15.75" customHeight="1">
      <c r="A42" s="38">
        <v>48</v>
      </c>
      <c r="B42" s="116" t="s">
        <v>589</v>
      </c>
      <c r="C42" s="116" t="s">
        <v>590</v>
      </c>
      <c r="D42" s="27"/>
      <c r="E42" s="27" t="s">
        <v>7</v>
      </c>
      <c r="F42" s="274"/>
      <c r="G42" s="274"/>
      <c r="H42" s="274"/>
      <c r="I42" s="274"/>
      <c r="J42" s="316"/>
      <c r="K42" s="316"/>
      <c r="L42" s="316"/>
      <c r="M42" s="316"/>
      <c r="N42" s="316"/>
      <c r="O42" s="316"/>
      <c r="P42" s="316"/>
      <c r="Q42" s="316"/>
      <c r="R42" s="316"/>
      <c r="S42" s="316"/>
      <c r="T42" s="27"/>
      <c r="U42" s="27"/>
      <c r="V42" s="27"/>
      <c r="W42" s="27"/>
      <c r="X42" s="27"/>
      <c r="Y42" s="27"/>
      <c r="Z42" s="27"/>
      <c r="AA42" s="27"/>
    </row>
    <row r="43" spans="1:27" ht="15.75" customHeight="1">
      <c r="A43" s="204">
        <v>50</v>
      </c>
      <c r="B43" s="120" t="s">
        <v>591</v>
      </c>
      <c r="C43" s="120" t="s">
        <v>592</v>
      </c>
      <c r="D43" s="27"/>
      <c r="E43" s="27" t="s">
        <v>17</v>
      </c>
      <c r="F43" s="312"/>
      <c r="G43" s="274"/>
      <c r="H43" s="274"/>
      <c r="I43" s="228"/>
      <c r="J43" s="241"/>
      <c r="K43" s="241"/>
      <c r="L43" s="241"/>
      <c r="M43" s="241"/>
      <c r="N43" s="241"/>
      <c r="O43" s="241"/>
      <c r="P43" s="240"/>
      <c r="Q43" s="241"/>
      <c r="R43" s="240"/>
      <c r="S43" s="241"/>
      <c r="T43" s="3"/>
      <c r="U43" s="3"/>
      <c r="V43" s="3"/>
      <c r="W43" s="3"/>
      <c r="X43" s="3"/>
      <c r="Y43" s="3"/>
      <c r="Z43" s="3"/>
      <c r="AA43" s="3"/>
    </row>
    <row r="44" spans="1:27" ht="15.75" customHeight="1">
      <c r="A44" s="204">
        <v>51</v>
      </c>
      <c r="B44" s="184" t="s">
        <v>593</v>
      </c>
      <c r="C44" s="45" t="s">
        <v>594</v>
      </c>
      <c r="D44" s="27"/>
      <c r="E44" s="27" t="s">
        <v>7</v>
      </c>
      <c r="F44" s="312"/>
      <c r="G44" s="274"/>
      <c r="H44" s="274"/>
      <c r="I44" s="228"/>
      <c r="J44" s="241"/>
      <c r="K44" s="241"/>
      <c r="L44" s="241"/>
      <c r="M44" s="241"/>
      <c r="N44" s="241"/>
      <c r="O44" s="241"/>
      <c r="P44" s="240"/>
      <c r="Q44" s="241"/>
      <c r="R44" s="240"/>
      <c r="S44" s="241"/>
      <c r="T44" s="3"/>
      <c r="U44" s="3"/>
      <c r="V44" s="3"/>
      <c r="W44" s="3"/>
      <c r="X44" s="3"/>
      <c r="Y44" s="3"/>
      <c r="Z44" s="3"/>
      <c r="AA44" s="3"/>
    </row>
    <row r="45" spans="1:27" ht="15.75" customHeight="1">
      <c r="A45" s="204">
        <v>52</v>
      </c>
      <c r="B45" s="45" t="s">
        <v>595</v>
      </c>
      <c r="C45" s="45" t="s">
        <v>596</v>
      </c>
      <c r="D45" s="27"/>
      <c r="E45" s="27" t="s">
        <v>17</v>
      </c>
      <c r="F45" s="312"/>
      <c r="G45" s="274"/>
      <c r="H45" s="274"/>
      <c r="I45" s="274"/>
      <c r="J45" s="319"/>
      <c r="K45" s="319"/>
      <c r="L45" s="319"/>
      <c r="M45" s="319"/>
      <c r="N45" s="319"/>
      <c r="O45" s="319"/>
      <c r="P45" s="276"/>
      <c r="Q45" s="319"/>
      <c r="R45" s="276"/>
      <c r="S45" s="319"/>
      <c r="T45" s="26"/>
      <c r="U45" s="26"/>
      <c r="V45" s="26"/>
      <c r="W45" s="26"/>
      <c r="X45" s="26"/>
      <c r="Y45" s="26"/>
      <c r="Z45" s="26"/>
      <c r="AA45" s="26"/>
    </row>
    <row r="46" spans="1:27" ht="15.75" customHeight="1">
      <c r="A46" s="204">
        <v>53</v>
      </c>
      <c r="B46" s="320" t="s">
        <v>597</v>
      </c>
      <c r="C46" s="184" t="s">
        <v>598</v>
      </c>
      <c r="D46" s="27"/>
      <c r="E46" s="27" t="s">
        <v>17</v>
      </c>
      <c r="F46" s="312"/>
      <c r="G46" s="274"/>
      <c r="H46" s="274"/>
      <c r="I46" s="274"/>
      <c r="J46" s="319"/>
      <c r="K46" s="319"/>
      <c r="L46" s="319"/>
      <c r="M46" s="319"/>
      <c r="N46" s="319"/>
      <c r="O46" s="319"/>
      <c r="P46" s="276"/>
      <c r="Q46" s="319"/>
      <c r="R46" s="276"/>
      <c r="S46" s="319"/>
      <c r="T46" s="26"/>
      <c r="U46" s="26"/>
      <c r="V46" s="26"/>
      <c r="W46" s="26"/>
      <c r="X46" s="26"/>
      <c r="Y46" s="26"/>
      <c r="Z46" s="26"/>
      <c r="AA46" s="26"/>
    </row>
    <row r="47" spans="1:27" ht="15" customHeight="1">
      <c r="A47" s="204">
        <v>54</v>
      </c>
      <c r="B47" s="45" t="s">
        <v>599</v>
      </c>
      <c r="C47" s="45" t="s">
        <v>600</v>
      </c>
      <c r="D47" s="27"/>
      <c r="E47" s="27" t="s">
        <v>17</v>
      </c>
      <c r="F47" s="312"/>
      <c r="G47" s="274"/>
      <c r="H47" s="274"/>
      <c r="I47" s="274"/>
      <c r="J47" s="319"/>
      <c r="K47" s="319"/>
      <c r="L47" s="319"/>
      <c r="M47" s="319"/>
      <c r="N47" s="319"/>
      <c r="O47" s="319"/>
      <c r="P47" s="276"/>
      <c r="Q47" s="319"/>
      <c r="R47" s="276"/>
      <c r="S47" s="319"/>
      <c r="T47" s="26"/>
      <c r="U47" s="26"/>
      <c r="V47" s="26"/>
      <c r="W47" s="26"/>
      <c r="X47" s="26"/>
      <c r="Y47" s="26"/>
      <c r="Z47" s="26"/>
      <c r="AA47" s="26"/>
    </row>
    <row r="48" spans="1:27" ht="15.75" customHeight="1">
      <c r="A48" s="204">
        <v>55</v>
      </c>
      <c r="B48" s="259" t="s">
        <v>601</v>
      </c>
      <c r="C48" s="88" t="s">
        <v>602</v>
      </c>
      <c r="D48" s="27"/>
      <c r="E48" s="27" t="s">
        <v>17</v>
      </c>
      <c r="F48" s="312"/>
      <c r="G48" s="274"/>
      <c r="H48" s="274"/>
      <c r="I48" s="274"/>
      <c r="J48" s="319"/>
      <c r="K48" s="319"/>
      <c r="L48" s="319"/>
      <c r="M48" s="319"/>
      <c r="N48" s="319"/>
      <c r="O48" s="319"/>
      <c r="P48" s="276"/>
      <c r="Q48" s="319"/>
      <c r="R48" s="276"/>
      <c r="S48" s="319"/>
      <c r="T48" s="26"/>
      <c r="U48" s="26"/>
      <c r="V48" s="26"/>
      <c r="W48" s="26"/>
      <c r="X48" s="26"/>
      <c r="Y48" s="26"/>
      <c r="Z48" s="26"/>
      <c r="AA48" s="26"/>
    </row>
    <row r="49" spans="1:27" ht="15.75" customHeight="1">
      <c r="A49" s="204">
        <v>56</v>
      </c>
      <c r="B49" s="42" t="s">
        <v>603</v>
      </c>
      <c r="C49" s="84" t="s">
        <v>604</v>
      </c>
      <c r="D49" s="27"/>
      <c r="E49" s="27" t="s">
        <v>17</v>
      </c>
      <c r="F49" s="312"/>
      <c r="G49" s="274"/>
      <c r="H49" s="274"/>
      <c r="I49" s="274"/>
      <c r="J49" s="319"/>
      <c r="K49" s="319"/>
      <c r="L49" s="319"/>
      <c r="M49" s="319"/>
      <c r="N49" s="319"/>
      <c r="O49" s="319"/>
      <c r="P49" s="276"/>
      <c r="Q49" s="319"/>
      <c r="R49" s="276"/>
      <c r="S49" s="319"/>
      <c r="T49" s="26"/>
      <c r="U49" s="26"/>
      <c r="V49" s="26"/>
      <c r="W49" s="26"/>
      <c r="X49" s="26"/>
      <c r="Y49" s="26"/>
      <c r="Z49" s="26"/>
      <c r="AA49" s="26"/>
    </row>
    <row r="50" spans="1:27" ht="15.75" customHeight="1">
      <c r="A50" s="123">
        <v>57</v>
      </c>
      <c r="B50" s="321" t="s">
        <v>605</v>
      </c>
      <c r="C50" s="321" t="s">
        <v>606</v>
      </c>
      <c r="D50" s="126"/>
      <c r="E50" s="321" t="s">
        <v>17</v>
      </c>
      <c r="F50" s="322"/>
      <c r="G50" s="323"/>
      <c r="H50" s="323"/>
      <c r="I50" s="323"/>
      <c r="J50" s="324"/>
      <c r="K50" s="324"/>
      <c r="L50" s="324"/>
      <c r="M50" s="324"/>
      <c r="N50" s="324"/>
      <c r="O50" s="324"/>
      <c r="P50" s="325"/>
      <c r="Q50" s="324"/>
      <c r="R50" s="325"/>
      <c r="S50" s="324"/>
      <c r="T50" s="129"/>
      <c r="U50" s="129"/>
      <c r="V50" s="129"/>
      <c r="W50" s="129"/>
      <c r="X50" s="129"/>
      <c r="Y50" s="129"/>
      <c r="Z50" s="129"/>
      <c r="AA50" s="129"/>
    </row>
    <row r="51" spans="1:27" ht="15.75" customHeight="1">
      <c r="A51" s="253"/>
      <c r="B51" s="50"/>
      <c r="C51" s="50"/>
      <c r="D51" s="50"/>
      <c r="E51" s="50"/>
      <c r="F51" s="313"/>
      <c r="G51" s="228"/>
      <c r="H51" s="228"/>
      <c r="I51" s="228"/>
      <c r="J51" s="241"/>
      <c r="K51" s="241"/>
      <c r="L51" s="241"/>
      <c r="M51" s="241"/>
      <c r="N51" s="241"/>
      <c r="O51" s="241"/>
      <c r="P51" s="240"/>
      <c r="Q51" s="241"/>
      <c r="R51" s="240"/>
      <c r="S51" s="241"/>
      <c r="T51" s="3"/>
      <c r="U51" s="3"/>
      <c r="V51" s="3"/>
      <c r="W51" s="3"/>
      <c r="X51" s="3"/>
      <c r="Y51" s="3"/>
      <c r="Z51" s="3"/>
      <c r="AA51" s="3"/>
    </row>
    <row r="52" spans="1:27" ht="15.75" customHeight="1">
      <c r="A52" s="326"/>
      <c r="B52" s="140" t="s">
        <v>177</v>
      </c>
      <c r="C52" s="11"/>
      <c r="D52" s="140" t="s">
        <v>35</v>
      </c>
      <c r="E52" s="11"/>
      <c r="F52" s="3"/>
      <c r="G52" s="228"/>
      <c r="H52" s="228"/>
      <c r="I52" s="228"/>
      <c r="J52" s="241"/>
      <c r="K52" s="241"/>
      <c r="L52" s="241"/>
      <c r="M52" s="241"/>
      <c r="N52" s="240"/>
      <c r="O52" s="241"/>
      <c r="P52" s="240"/>
      <c r="Q52" s="241"/>
      <c r="R52" s="240"/>
      <c r="S52" s="241"/>
      <c r="T52" s="3"/>
      <c r="U52" s="3"/>
      <c r="V52" s="3"/>
      <c r="W52" s="3"/>
      <c r="X52" s="3"/>
      <c r="Y52" s="3"/>
      <c r="Z52" s="3"/>
      <c r="AA52" s="3"/>
    </row>
    <row r="53" spans="1:27" ht="15.75" customHeight="1">
      <c r="A53" s="327"/>
      <c r="B53" s="50" t="s">
        <v>36</v>
      </c>
      <c r="C53" s="50">
        <v>2</v>
      </c>
      <c r="D53" s="27" t="s">
        <v>36</v>
      </c>
      <c r="E53" s="27">
        <f>COUNTIF(E2:E26, "C")</f>
        <v>4</v>
      </c>
      <c r="F53" s="3"/>
      <c r="G53" s="228"/>
      <c r="H53" s="228"/>
      <c r="I53" s="228"/>
      <c r="J53" s="241"/>
      <c r="K53" s="240"/>
      <c r="L53" s="240"/>
      <c r="M53" s="241"/>
      <c r="N53" s="240"/>
      <c r="O53" s="241"/>
      <c r="P53" s="240"/>
      <c r="Q53" s="241"/>
      <c r="R53" s="240"/>
      <c r="S53" s="240"/>
      <c r="T53" s="3"/>
      <c r="U53" s="3"/>
      <c r="V53" s="3"/>
      <c r="W53" s="3"/>
      <c r="X53" s="3"/>
      <c r="Y53" s="3"/>
      <c r="Z53" s="3"/>
      <c r="AA53" s="3"/>
    </row>
    <row r="54" spans="1:27" ht="15.75" customHeight="1">
      <c r="A54" s="327"/>
      <c r="B54" s="50" t="s">
        <v>37</v>
      </c>
      <c r="C54" s="50">
        <v>15</v>
      </c>
      <c r="D54" s="27" t="s">
        <v>37</v>
      </c>
      <c r="E54" s="27">
        <f>COUNTIF(E2:E51, "H")</f>
        <v>14</v>
      </c>
      <c r="F54" s="3"/>
      <c r="G54" s="228"/>
      <c r="H54" s="228"/>
      <c r="I54" s="228"/>
      <c r="J54" s="241"/>
      <c r="K54" s="240"/>
      <c r="L54" s="240"/>
      <c r="M54" s="241"/>
      <c r="N54" s="240"/>
      <c r="O54" s="240"/>
      <c r="P54" s="240"/>
      <c r="Q54" s="241"/>
      <c r="R54" s="240"/>
      <c r="S54" s="240"/>
      <c r="T54" s="3"/>
      <c r="U54" s="3"/>
      <c r="V54" s="3"/>
      <c r="W54" s="3"/>
      <c r="X54" s="3"/>
      <c r="Y54" s="3"/>
      <c r="Z54" s="3"/>
      <c r="AA54" s="3"/>
    </row>
    <row r="55" spans="1:27" ht="15.75" customHeight="1">
      <c r="A55" s="327"/>
      <c r="B55" s="50" t="s">
        <v>38</v>
      </c>
      <c r="C55" s="50">
        <v>23</v>
      </c>
      <c r="D55" s="27" t="s">
        <v>38</v>
      </c>
      <c r="E55" s="27">
        <f>COUNTIF(E2:E51, "M")</f>
        <v>28</v>
      </c>
      <c r="F55" s="3"/>
      <c r="G55" s="228"/>
      <c r="H55" s="50"/>
      <c r="I55" s="228"/>
      <c r="J55" s="241"/>
      <c r="K55" s="241"/>
      <c r="L55" s="241"/>
      <c r="M55" s="241"/>
      <c r="N55" s="240"/>
      <c r="O55" s="240"/>
      <c r="P55" s="240"/>
      <c r="Q55" s="241"/>
      <c r="R55" s="241"/>
      <c r="S55" s="241"/>
      <c r="T55" s="3"/>
      <c r="U55" s="3"/>
      <c r="V55" s="3"/>
      <c r="W55" s="3"/>
      <c r="X55" s="3"/>
      <c r="Y55" s="3"/>
      <c r="Z55" s="3"/>
      <c r="AA55" s="3"/>
    </row>
    <row r="56" spans="1:27" ht="15.75" customHeight="1">
      <c r="A56" s="327"/>
      <c r="B56" s="50" t="s">
        <v>39</v>
      </c>
      <c r="C56" s="50">
        <v>2</v>
      </c>
      <c r="D56" s="27" t="s">
        <v>39</v>
      </c>
      <c r="E56" s="27">
        <f>COUNTIF(E2:E27, "Coord")</f>
        <v>2</v>
      </c>
      <c r="F56" s="3"/>
      <c r="G56" s="228"/>
      <c r="H56" s="228"/>
      <c r="I56" s="228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3"/>
      <c r="U56" s="3"/>
      <c r="V56" s="3"/>
      <c r="W56" s="3"/>
      <c r="X56" s="3"/>
      <c r="Y56" s="3"/>
      <c r="Z56" s="3"/>
      <c r="AA56" s="3"/>
    </row>
    <row r="57" spans="1:27" ht="15.75" customHeight="1">
      <c r="A57" s="327"/>
      <c r="B57" s="50" t="s">
        <v>40</v>
      </c>
      <c r="C57" s="50">
        <v>38</v>
      </c>
      <c r="D57" s="27" t="s">
        <v>40</v>
      </c>
      <c r="E57" s="27">
        <f>SUM(E53:E56)</f>
        <v>48</v>
      </c>
      <c r="F57" s="3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3"/>
      <c r="U57" s="3"/>
      <c r="V57" s="3"/>
      <c r="W57" s="3"/>
      <c r="X57" s="3"/>
      <c r="Y57" s="3"/>
      <c r="Z57" s="3"/>
      <c r="AA57" s="3"/>
    </row>
    <row r="58" spans="1:27" ht="15.75" customHeight="1">
      <c r="A58" s="327"/>
      <c r="B58" s="50"/>
      <c r="C58" s="50"/>
      <c r="D58" s="143"/>
      <c r="E58" s="50"/>
      <c r="F58" s="3"/>
      <c r="G58" s="11"/>
      <c r="H58" s="11"/>
      <c r="I58" s="11"/>
      <c r="J58" s="11"/>
      <c r="K58" s="46"/>
      <c r="L58" s="46"/>
      <c r="M58" s="46"/>
      <c r="N58" s="46"/>
      <c r="O58" s="46"/>
      <c r="P58" s="46"/>
      <c r="Q58" s="46"/>
      <c r="R58" s="46"/>
      <c r="S58" s="46"/>
      <c r="T58" s="3"/>
      <c r="U58" s="3"/>
      <c r="V58" s="3"/>
      <c r="W58" s="3"/>
      <c r="X58" s="3"/>
      <c r="Y58" s="3"/>
      <c r="Z58" s="3"/>
      <c r="AA58" s="3"/>
    </row>
    <row r="59" spans="1:27" ht="15.75" customHeight="1">
      <c r="A59" s="327"/>
      <c r="B59" s="328"/>
      <c r="C59" s="329"/>
      <c r="D59" s="330"/>
      <c r="E59" s="50"/>
      <c r="F59" s="3"/>
      <c r="G59" s="50"/>
      <c r="H59" s="11"/>
      <c r="I59" s="11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3"/>
      <c r="U59" s="3"/>
      <c r="V59" s="3"/>
      <c r="W59" s="3"/>
      <c r="X59" s="3"/>
      <c r="Y59" s="3"/>
      <c r="Z59" s="3"/>
      <c r="AA59" s="3"/>
    </row>
    <row r="60" spans="1:27" ht="15.75" customHeight="1">
      <c r="A60" s="327"/>
      <c r="B60" s="50"/>
      <c r="C60" s="50"/>
      <c r="D60" s="143"/>
      <c r="E60" s="5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>
      <c r="A61" s="327"/>
      <c r="B61" s="50"/>
      <c r="C61" s="50"/>
      <c r="D61" s="143"/>
      <c r="E61" s="5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>
      <c r="A62" s="327"/>
      <c r="B62" s="50"/>
      <c r="C62" s="50"/>
      <c r="D62" s="143"/>
      <c r="E62" s="5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>
      <c r="A63" s="327"/>
      <c r="B63" s="50"/>
      <c r="C63" s="50"/>
      <c r="D63" s="143"/>
      <c r="E63" s="5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A64" s="327"/>
      <c r="B64" s="50"/>
      <c r="C64" s="50"/>
      <c r="D64" s="143"/>
      <c r="E64" s="5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>
      <c r="A65" s="327"/>
      <c r="B65" s="50"/>
      <c r="C65" s="50"/>
      <c r="D65" s="143"/>
      <c r="E65" s="5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327"/>
      <c r="B66" s="50"/>
      <c r="C66" s="50"/>
      <c r="D66" s="143"/>
      <c r="E66" s="5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327"/>
      <c r="B67" s="50"/>
      <c r="C67" s="50"/>
      <c r="D67" s="143"/>
      <c r="E67" s="5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327"/>
      <c r="B68" s="50"/>
      <c r="C68" s="50"/>
      <c r="D68" s="143"/>
      <c r="E68" s="5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327"/>
      <c r="B69" s="50"/>
      <c r="C69" s="50"/>
      <c r="D69" s="143"/>
      <c r="E69" s="5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327"/>
      <c r="B70" s="50"/>
      <c r="C70" s="50"/>
      <c r="D70" s="143"/>
      <c r="E70" s="5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327"/>
      <c r="B71" s="50"/>
      <c r="C71" s="50"/>
      <c r="D71" s="143"/>
      <c r="E71" s="5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327"/>
      <c r="B72" s="50"/>
      <c r="C72" s="50"/>
      <c r="D72" s="143"/>
      <c r="E72" s="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327"/>
      <c r="B73" s="50"/>
      <c r="C73" s="50"/>
      <c r="D73" s="143"/>
      <c r="E73" s="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327"/>
      <c r="B74" s="50"/>
      <c r="C74" s="50"/>
      <c r="D74" s="143"/>
      <c r="E74" s="5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327"/>
      <c r="B75" s="50"/>
      <c r="C75" s="50"/>
      <c r="D75" s="143"/>
      <c r="E75" s="5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327"/>
      <c r="B76" s="50"/>
      <c r="C76" s="50"/>
      <c r="D76" s="143"/>
      <c r="E76" s="5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327"/>
      <c r="B77" s="50"/>
      <c r="C77" s="50"/>
      <c r="D77" s="143"/>
      <c r="E77" s="5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327"/>
      <c r="B78" s="50"/>
      <c r="C78" s="50"/>
      <c r="D78" s="143"/>
      <c r="E78" s="5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327"/>
      <c r="B79" s="50"/>
      <c r="C79" s="50"/>
      <c r="D79" s="143"/>
      <c r="E79" s="5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327"/>
      <c r="B80" s="50"/>
      <c r="C80" s="50"/>
      <c r="D80" s="143"/>
      <c r="E80" s="5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327"/>
      <c r="B81" s="50"/>
      <c r="C81" s="50"/>
      <c r="D81" s="143"/>
      <c r="E81" s="5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>
      <c r="A82" s="327"/>
      <c r="B82" s="50"/>
      <c r="C82" s="50"/>
      <c r="D82" s="143"/>
      <c r="E82" s="5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>
      <c r="A83" s="327"/>
      <c r="B83" s="50"/>
      <c r="C83" s="50"/>
      <c r="D83" s="143"/>
      <c r="E83" s="5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>
      <c r="A84" s="327"/>
      <c r="B84" s="50"/>
      <c r="C84" s="50"/>
      <c r="D84" s="143"/>
      <c r="E84" s="5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>
      <c r="A85" s="327"/>
      <c r="B85" s="50"/>
      <c r="C85" s="50"/>
      <c r="D85" s="143"/>
      <c r="E85" s="5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327"/>
      <c r="B86" s="50"/>
      <c r="C86" s="50"/>
      <c r="D86" s="143"/>
      <c r="E86" s="5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327"/>
      <c r="B87" s="50"/>
      <c r="C87" s="50"/>
      <c r="D87" s="143"/>
      <c r="E87" s="5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327"/>
      <c r="B88" s="50"/>
      <c r="C88" s="50"/>
      <c r="D88" s="143"/>
      <c r="E88" s="5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327"/>
      <c r="B89" s="50"/>
      <c r="C89" s="50"/>
      <c r="D89" s="143"/>
      <c r="E89" s="5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>
      <c r="A90" s="327"/>
      <c r="B90" s="50"/>
      <c r="C90" s="50"/>
      <c r="D90" s="143"/>
      <c r="E90" s="5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>
      <c r="A91" s="327"/>
      <c r="B91" s="50"/>
      <c r="C91" s="50"/>
      <c r="D91" s="143"/>
      <c r="E91" s="5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>
      <c r="A92" s="327"/>
      <c r="B92" s="50"/>
      <c r="C92" s="50"/>
      <c r="D92" s="143"/>
      <c r="E92" s="5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>
      <c r="A93" s="327"/>
      <c r="B93" s="50"/>
      <c r="C93" s="50"/>
      <c r="D93" s="143"/>
      <c r="E93" s="5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>
      <c r="A94" s="327"/>
      <c r="B94" s="50"/>
      <c r="C94" s="50"/>
      <c r="D94" s="143"/>
      <c r="E94" s="5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>
      <c r="A95" s="327"/>
      <c r="B95" s="50"/>
      <c r="C95" s="50"/>
      <c r="D95" s="143"/>
      <c r="E95" s="5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>
      <c r="A96" s="327"/>
      <c r="B96" s="50"/>
      <c r="C96" s="50"/>
      <c r="D96" s="143"/>
      <c r="E96" s="5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>
      <c r="A97" s="327"/>
      <c r="B97" s="50"/>
      <c r="C97" s="50"/>
      <c r="D97" s="143"/>
      <c r="E97" s="5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>
      <c r="A98" s="327"/>
      <c r="B98" s="50"/>
      <c r="C98" s="50"/>
      <c r="D98" s="143"/>
      <c r="E98" s="5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>
      <c r="A99" s="327"/>
      <c r="B99" s="50"/>
      <c r="C99" s="50"/>
      <c r="D99" s="143"/>
      <c r="E99" s="5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>
      <c r="A100" s="327"/>
      <c r="B100" s="50"/>
      <c r="C100" s="50"/>
      <c r="D100" s="143"/>
      <c r="E100" s="5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>
      <c r="A101" s="327"/>
      <c r="B101" s="50"/>
      <c r="C101" s="50"/>
      <c r="D101" s="143"/>
      <c r="E101" s="5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327"/>
      <c r="B102" s="50"/>
      <c r="C102" s="50"/>
      <c r="D102" s="143"/>
      <c r="E102" s="5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>
      <c r="A103" s="327"/>
      <c r="B103" s="50"/>
      <c r="C103" s="50"/>
      <c r="D103" s="143"/>
      <c r="E103" s="5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>
      <c r="A104" s="327"/>
      <c r="B104" s="50"/>
      <c r="C104" s="50"/>
      <c r="D104" s="143"/>
      <c r="E104" s="5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>
      <c r="A105" s="327"/>
      <c r="B105" s="50"/>
      <c r="C105" s="50"/>
      <c r="D105" s="143"/>
      <c r="E105" s="5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>
      <c r="A106" s="327"/>
      <c r="B106" s="50"/>
      <c r="C106" s="50"/>
      <c r="D106" s="143"/>
      <c r="E106" s="5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>
      <c r="A107" s="327"/>
      <c r="B107" s="50"/>
      <c r="C107" s="50"/>
      <c r="D107" s="143"/>
      <c r="E107" s="5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>
      <c r="A108" s="327"/>
      <c r="B108" s="50"/>
      <c r="C108" s="50"/>
      <c r="D108" s="143"/>
      <c r="E108" s="5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>
      <c r="A109" s="327"/>
      <c r="B109" s="50"/>
      <c r="C109" s="50"/>
      <c r="D109" s="143"/>
      <c r="E109" s="5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>
      <c r="A110" s="327"/>
      <c r="B110" s="50"/>
      <c r="C110" s="50"/>
      <c r="D110" s="143"/>
      <c r="E110" s="5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>
      <c r="A111" s="327"/>
      <c r="B111" s="50"/>
      <c r="C111" s="50"/>
      <c r="D111" s="143"/>
      <c r="E111" s="5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>
      <c r="A112" s="327"/>
      <c r="B112" s="50"/>
      <c r="C112" s="50"/>
      <c r="D112" s="143"/>
      <c r="E112" s="5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>
      <c r="A113" s="327"/>
      <c r="B113" s="50"/>
      <c r="C113" s="50"/>
      <c r="D113" s="143"/>
      <c r="E113" s="5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>
      <c r="A114" s="327"/>
      <c r="B114" s="50"/>
      <c r="C114" s="50"/>
      <c r="D114" s="143"/>
      <c r="E114" s="5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>
      <c r="A115" s="327"/>
      <c r="B115" s="50"/>
      <c r="C115" s="50"/>
      <c r="D115" s="143"/>
      <c r="E115" s="5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>
      <c r="A116" s="327"/>
      <c r="B116" s="50"/>
      <c r="C116" s="50"/>
      <c r="D116" s="143"/>
      <c r="E116" s="5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>
      <c r="A117" s="327"/>
      <c r="B117" s="50"/>
      <c r="C117" s="50"/>
      <c r="D117" s="143"/>
      <c r="E117" s="5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>
      <c r="A118" s="327"/>
      <c r="B118" s="50"/>
      <c r="C118" s="50"/>
      <c r="D118" s="143"/>
      <c r="E118" s="5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>
      <c r="A119" s="327"/>
      <c r="B119" s="50"/>
      <c r="C119" s="50"/>
      <c r="D119" s="143"/>
      <c r="E119" s="5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>
      <c r="A120" s="327"/>
      <c r="B120" s="50"/>
      <c r="C120" s="50"/>
      <c r="D120" s="143"/>
      <c r="E120" s="5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327"/>
      <c r="B121" s="50"/>
      <c r="C121" s="50"/>
      <c r="D121" s="143"/>
      <c r="E121" s="5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327"/>
      <c r="B122" s="50"/>
      <c r="C122" s="50"/>
      <c r="D122" s="143"/>
      <c r="E122" s="5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327"/>
      <c r="B123" s="50"/>
      <c r="C123" s="50"/>
      <c r="D123" s="143"/>
      <c r="E123" s="5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27"/>
      <c r="B124" s="50"/>
      <c r="C124" s="50"/>
      <c r="D124" s="143"/>
      <c r="E124" s="5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27"/>
      <c r="B125" s="50"/>
      <c r="C125" s="50"/>
      <c r="D125" s="143"/>
      <c r="E125" s="5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27"/>
      <c r="B126" s="50"/>
      <c r="C126" s="50"/>
      <c r="D126" s="143"/>
      <c r="E126" s="5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27"/>
      <c r="B127" s="50"/>
      <c r="C127" s="50"/>
      <c r="D127" s="143"/>
      <c r="E127" s="5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27"/>
      <c r="B128" s="50"/>
      <c r="C128" s="50"/>
      <c r="D128" s="143"/>
      <c r="E128" s="5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27"/>
      <c r="B129" s="50"/>
      <c r="C129" s="50"/>
      <c r="D129" s="143"/>
      <c r="E129" s="5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27"/>
      <c r="B130" s="50"/>
      <c r="C130" s="50"/>
      <c r="D130" s="143"/>
      <c r="E130" s="5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27"/>
      <c r="B131" s="50"/>
      <c r="C131" s="50"/>
      <c r="D131" s="143"/>
      <c r="E131" s="5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27"/>
      <c r="B132" s="50"/>
      <c r="C132" s="50"/>
      <c r="D132" s="143"/>
      <c r="E132" s="5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27"/>
      <c r="B133" s="50"/>
      <c r="C133" s="50"/>
      <c r="D133" s="143"/>
      <c r="E133" s="5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27"/>
      <c r="B134" s="50"/>
      <c r="C134" s="50"/>
      <c r="D134" s="143"/>
      <c r="E134" s="5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27"/>
      <c r="B135" s="50"/>
      <c r="C135" s="50"/>
      <c r="D135" s="143"/>
      <c r="E135" s="5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27"/>
      <c r="B136" s="50"/>
      <c r="C136" s="50"/>
      <c r="D136" s="143"/>
      <c r="E136" s="5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>
      <c r="A137" s="327"/>
      <c r="B137" s="50"/>
      <c r="C137" s="50"/>
      <c r="D137" s="143"/>
      <c r="E137" s="5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>
      <c r="A138" s="327"/>
      <c r="B138" s="50"/>
      <c r="C138" s="50"/>
      <c r="D138" s="143"/>
      <c r="E138" s="5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>
      <c r="A139" s="327"/>
      <c r="B139" s="50"/>
      <c r="C139" s="50"/>
      <c r="D139" s="143"/>
      <c r="E139" s="5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>
      <c r="A140" s="327"/>
      <c r="B140" s="50"/>
      <c r="C140" s="50"/>
      <c r="D140" s="143"/>
      <c r="E140" s="5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>
      <c r="A141" s="327"/>
      <c r="B141" s="50"/>
      <c r="C141" s="50"/>
      <c r="D141" s="143"/>
      <c r="E141" s="5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>
      <c r="A142" s="327"/>
      <c r="B142" s="50"/>
      <c r="C142" s="50"/>
      <c r="D142" s="143"/>
      <c r="E142" s="5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>
      <c r="A143" s="327"/>
      <c r="B143" s="50"/>
      <c r="C143" s="50"/>
      <c r="D143" s="143"/>
      <c r="E143" s="5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>
      <c r="A144" s="327"/>
      <c r="B144" s="50"/>
      <c r="C144" s="50"/>
      <c r="D144" s="143"/>
      <c r="E144" s="5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>
      <c r="A145" s="327"/>
      <c r="B145" s="50"/>
      <c r="C145" s="50"/>
      <c r="D145" s="143"/>
      <c r="E145" s="5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>
      <c r="A146" s="327"/>
      <c r="B146" s="50"/>
      <c r="C146" s="50"/>
      <c r="D146" s="143"/>
      <c r="E146" s="5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>
      <c r="A147" s="327"/>
      <c r="B147" s="50"/>
      <c r="C147" s="50"/>
      <c r="D147" s="143"/>
      <c r="E147" s="5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>
      <c r="A148" s="327"/>
      <c r="B148" s="50"/>
      <c r="C148" s="50"/>
      <c r="D148" s="143"/>
      <c r="E148" s="5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>
      <c r="A149" s="327"/>
      <c r="B149" s="50"/>
      <c r="C149" s="50"/>
      <c r="D149" s="143"/>
      <c r="E149" s="5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>
      <c r="A150" s="327"/>
      <c r="B150" s="50"/>
      <c r="C150" s="50"/>
      <c r="D150" s="143"/>
      <c r="E150" s="5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>
      <c r="A151" s="327"/>
      <c r="B151" s="50"/>
      <c r="C151" s="50"/>
      <c r="D151" s="143"/>
      <c r="E151" s="5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>
      <c r="A152" s="327"/>
      <c r="B152" s="50"/>
      <c r="C152" s="50"/>
      <c r="D152" s="143"/>
      <c r="E152" s="5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>
      <c r="A153" s="327"/>
      <c r="B153" s="50"/>
      <c r="C153" s="50"/>
      <c r="D153" s="143"/>
      <c r="E153" s="5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>
      <c r="A154" s="327"/>
      <c r="B154" s="50"/>
      <c r="C154" s="50"/>
      <c r="D154" s="143"/>
      <c r="E154" s="5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>
      <c r="A155" s="327"/>
      <c r="B155" s="50"/>
      <c r="C155" s="50"/>
      <c r="D155" s="143"/>
      <c r="E155" s="5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>
      <c r="A156" s="327"/>
      <c r="B156" s="50"/>
      <c r="C156" s="50"/>
      <c r="D156" s="143"/>
      <c r="E156" s="5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>
      <c r="A157" s="327"/>
      <c r="B157" s="50"/>
      <c r="C157" s="50"/>
      <c r="D157" s="143"/>
      <c r="E157" s="5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>
      <c r="A158" s="327"/>
      <c r="B158" s="50"/>
      <c r="C158" s="50"/>
      <c r="D158" s="143"/>
      <c r="E158" s="5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>
      <c r="A159" s="327"/>
      <c r="B159" s="50"/>
      <c r="C159" s="50"/>
      <c r="D159" s="143"/>
      <c r="E159" s="5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>
      <c r="A160" s="327"/>
      <c r="B160" s="50"/>
      <c r="C160" s="50"/>
      <c r="D160" s="143"/>
      <c r="E160" s="5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>
      <c r="A161" s="327"/>
      <c r="B161" s="50"/>
      <c r="C161" s="50"/>
      <c r="D161" s="143"/>
      <c r="E161" s="5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>
      <c r="A162" s="327"/>
      <c r="B162" s="50"/>
      <c r="C162" s="50"/>
      <c r="D162" s="143"/>
      <c r="E162" s="5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>
      <c r="A163" s="327"/>
      <c r="B163" s="50"/>
      <c r="C163" s="50"/>
      <c r="D163" s="143"/>
      <c r="E163" s="5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>
      <c r="A164" s="327"/>
      <c r="B164" s="50"/>
      <c r="C164" s="50"/>
      <c r="D164" s="143"/>
      <c r="E164" s="5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>
      <c r="A165" s="327"/>
      <c r="B165" s="50"/>
      <c r="C165" s="50"/>
      <c r="D165" s="143"/>
      <c r="E165" s="5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>
      <c r="A166" s="327"/>
      <c r="B166" s="50"/>
      <c r="C166" s="50"/>
      <c r="D166" s="143"/>
      <c r="E166" s="5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>
      <c r="A167" s="327"/>
      <c r="B167" s="50"/>
      <c r="C167" s="50"/>
      <c r="D167" s="143"/>
      <c r="E167" s="5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>
      <c r="A168" s="327"/>
      <c r="B168" s="50"/>
      <c r="C168" s="50"/>
      <c r="D168" s="143"/>
      <c r="E168" s="5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>
      <c r="A169" s="327"/>
      <c r="B169" s="50"/>
      <c r="C169" s="50"/>
      <c r="D169" s="143"/>
      <c r="E169" s="5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>
      <c r="A170" s="327"/>
      <c r="B170" s="50"/>
      <c r="C170" s="50"/>
      <c r="D170" s="143"/>
      <c r="E170" s="5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>
      <c r="A171" s="327"/>
      <c r="B171" s="50"/>
      <c r="C171" s="50"/>
      <c r="D171" s="143"/>
      <c r="E171" s="5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>
      <c r="A172" s="327"/>
      <c r="B172" s="50"/>
      <c r="C172" s="50"/>
      <c r="D172" s="143"/>
      <c r="E172" s="5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>
      <c r="A173" s="327"/>
      <c r="B173" s="50"/>
      <c r="C173" s="50"/>
      <c r="D173" s="143"/>
      <c r="E173" s="5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>
      <c r="A174" s="327"/>
      <c r="B174" s="50"/>
      <c r="C174" s="50"/>
      <c r="D174" s="143"/>
      <c r="E174" s="5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>
      <c r="A175" s="327"/>
      <c r="B175" s="50"/>
      <c r="C175" s="50"/>
      <c r="D175" s="143"/>
      <c r="E175" s="5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>
      <c r="A176" s="327"/>
      <c r="B176" s="50"/>
      <c r="C176" s="50"/>
      <c r="D176" s="143"/>
      <c r="E176" s="5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>
      <c r="A177" s="327"/>
      <c r="B177" s="50"/>
      <c r="C177" s="50"/>
      <c r="D177" s="143"/>
      <c r="E177" s="5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>
      <c r="A178" s="327"/>
      <c r="B178" s="50"/>
      <c r="C178" s="50"/>
      <c r="D178" s="143"/>
      <c r="E178" s="5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>
      <c r="A179" s="327"/>
      <c r="B179" s="50"/>
      <c r="C179" s="50"/>
      <c r="D179" s="143"/>
      <c r="E179" s="5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>
      <c r="A180" s="327"/>
      <c r="B180" s="50"/>
      <c r="C180" s="50"/>
      <c r="D180" s="143"/>
      <c r="E180" s="5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>
      <c r="A181" s="327"/>
      <c r="B181" s="50"/>
      <c r="C181" s="50"/>
      <c r="D181" s="143"/>
      <c r="E181" s="5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>
      <c r="A182" s="327"/>
      <c r="B182" s="50"/>
      <c r="C182" s="50"/>
      <c r="D182" s="143"/>
      <c r="E182" s="5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>
      <c r="A183" s="327"/>
      <c r="B183" s="50"/>
      <c r="C183" s="50"/>
      <c r="D183" s="143"/>
      <c r="E183" s="5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>
      <c r="A184" s="327"/>
      <c r="B184" s="50"/>
      <c r="C184" s="50"/>
      <c r="D184" s="143"/>
      <c r="E184" s="5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>
      <c r="A185" s="327"/>
      <c r="B185" s="50"/>
      <c r="C185" s="50"/>
      <c r="D185" s="143"/>
      <c r="E185" s="5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>
      <c r="A186" s="327"/>
      <c r="B186" s="50"/>
      <c r="C186" s="50"/>
      <c r="D186" s="143"/>
      <c r="E186" s="5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>
      <c r="A187" s="327"/>
      <c r="B187" s="50"/>
      <c r="C187" s="50"/>
      <c r="D187" s="143"/>
      <c r="E187" s="5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>
      <c r="A188" s="327"/>
      <c r="B188" s="50"/>
      <c r="C188" s="50"/>
      <c r="D188" s="143"/>
      <c r="E188" s="5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>
      <c r="A189" s="327"/>
      <c r="B189" s="50"/>
      <c r="C189" s="50"/>
      <c r="D189" s="143"/>
      <c r="E189" s="5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>
      <c r="A190" s="327"/>
      <c r="B190" s="50"/>
      <c r="C190" s="50"/>
      <c r="D190" s="143"/>
      <c r="E190" s="5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>
      <c r="A191" s="327"/>
      <c r="B191" s="50"/>
      <c r="C191" s="50"/>
      <c r="D191" s="143"/>
      <c r="E191" s="5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>
      <c r="A192" s="327"/>
      <c r="B192" s="50"/>
      <c r="C192" s="50"/>
      <c r="D192" s="143"/>
      <c r="E192" s="5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>
      <c r="A193" s="327"/>
      <c r="B193" s="50"/>
      <c r="C193" s="50"/>
      <c r="D193" s="143"/>
      <c r="E193" s="5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>
      <c r="A194" s="327"/>
      <c r="B194" s="50"/>
      <c r="C194" s="50"/>
      <c r="D194" s="143"/>
      <c r="E194" s="5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>
      <c r="A195" s="327"/>
      <c r="B195" s="50"/>
      <c r="C195" s="50"/>
      <c r="D195" s="143"/>
      <c r="E195" s="5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>
      <c r="A196" s="327"/>
      <c r="B196" s="50"/>
      <c r="C196" s="50"/>
      <c r="D196" s="143"/>
      <c r="E196" s="5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>
      <c r="A197" s="327"/>
      <c r="B197" s="50"/>
      <c r="C197" s="50"/>
      <c r="D197" s="143"/>
      <c r="E197" s="5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>
      <c r="A198" s="327"/>
      <c r="B198" s="50"/>
      <c r="C198" s="50"/>
      <c r="D198" s="143"/>
      <c r="E198" s="5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>
      <c r="A199" s="327"/>
      <c r="B199" s="50"/>
      <c r="C199" s="50"/>
      <c r="D199" s="143"/>
      <c r="E199" s="5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>
      <c r="A200" s="327"/>
      <c r="B200" s="50"/>
      <c r="C200" s="50"/>
      <c r="D200" s="143"/>
      <c r="E200" s="5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>
      <c r="A201" s="327"/>
      <c r="B201" s="50"/>
      <c r="C201" s="50"/>
      <c r="D201" s="143"/>
      <c r="E201" s="5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>
      <c r="A202" s="327"/>
      <c r="B202" s="50"/>
      <c r="C202" s="50"/>
      <c r="D202" s="143"/>
      <c r="E202" s="5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>
      <c r="A203" s="327"/>
      <c r="B203" s="50"/>
      <c r="C203" s="50"/>
      <c r="D203" s="143"/>
      <c r="E203" s="5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>
      <c r="A204" s="327"/>
      <c r="B204" s="50"/>
      <c r="C204" s="50"/>
      <c r="D204" s="143"/>
      <c r="E204" s="5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>
      <c r="A205" s="327"/>
      <c r="B205" s="50"/>
      <c r="C205" s="50"/>
      <c r="D205" s="143"/>
      <c r="E205" s="5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>
      <c r="A206" s="327"/>
      <c r="B206" s="50"/>
      <c r="C206" s="50"/>
      <c r="D206" s="143"/>
      <c r="E206" s="5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>
      <c r="A207" s="327"/>
      <c r="B207" s="50"/>
      <c r="C207" s="50"/>
      <c r="D207" s="143"/>
      <c r="E207" s="5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>
      <c r="A208" s="327"/>
      <c r="B208" s="50"/>
      <c r="C208" s="50"/>
      <c r="D208" s="143"/>
      <c r="E208" s="5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>
      <c r="A209" s="327"/>
      <c r="B209" s="50"/>
      <c r="C209" s="50"/>
      <c r="D209" s="143"/>
      <c r="E209" s="5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>
      <c r="A210" s="327"/>
      <c r="B210" s="50"/>
      <c r="C210" s="50"/>
      <c r="D210" s="143"/>
      <c r="E210" s="5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>
      <c r="A211" s="327"/>
      <c r="B211" s="50"/>
      <c r="C211" s="50"/>
      <c r="D211" s="143"/>
      <c r="E211" s="5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>
      <c r="A212" s="327"/>
      <c r="B212" s="50"/>
      <c r="C212" s="50"/>
      <c r="D212" s="143"/>
      <c r="E212" s="5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>
      <c r="A213" s="327"/>
      <c r="B213" s="50"/>
      <c r="C213" s="50"/>
      <c r="D213" s="143"/>
      <c r="E213" s="5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>
      <c r="A214" s="327"/>
      <c r="B214" s="50"/>
      <c r="C214" s="50"/>
      <c r="D214" s="143"/>
      <c r="E214" s="5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>
      <c r="A215" s="327"/>
      <c r="B215" s="50"/>
      <c r="C215" s="50"/>
      <c r="D215" s="143"/>
      <c r="E215" s="5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>
      <c r="A216" s="327"/>
      <c r="B216" s="50"/>
      <c r="C216" s="50"/>
      <c r="D216" s="143"/>
      <c r="E216" s="5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>
      <c r="A217" s="327"/>
      <c r="B217" s="50"/>
      <c r="C217" s="50"/>
      <c r="D217" s="143"/>
      <c r="E217" s="5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>
      <c r="A218" s="327"/>
      <c r="B218" s="50"/>
      <c r="C218" s="50"/>
      <c r="D218" s="143"/>
      <c r="E218" s="5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>
      <c r="A219" s="327"/>
      <c r="B219" s="50"/>
      <c r="C219" s="50"/>
      <c r="D219" s="143"/>
      <c r="E219" s="5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327"/>
      <c r="B220" s="50"/>
      <c r="C220" s="50"/>
      <c r="D220" s="143"/>
      <c r="E220" s="5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>
      <c r="A221" s="327"/>
      <c r="B221" s="50"/>
      <c r="C221" s="50"/>
      <c r="D221" s="143"/>
      <c r="E221" s="5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>
      <c r="A222" s="327"/>
      <c r="B222" s="50"/>
      <c r="C222" s="50"/>
      <c r="D222" s="143"/>
      <c r="E222" s="5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>
      <c r="A223" s="327"/>
      <c r="B223" s="50"/>
      <c r="C223" s="50"/>
      <c r="D223" s="143"/>
      <c r="E223" s="5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>
      <c r="A224" s="327"/>
      <c r="B224" s="50"/>
      <c r="C224" s="50"/>
      <c r="D224" s="143"/>
      <c r="E224" s="5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>
      <c r="A225" s="327"/>
      <c r="B225" s="50"/>
      <c r="C225" s="50"/>
      <c r="D225" s="143"/>
      <c r="E225" s="5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>
      <c r="A226" s="327"/>
      <c r="B226" s="50"/>
      <c r="C226" s="50"/>
      <c r="D226" s="143"/>
      <c r="E226" s="5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>
      <c r="A227" s="327"/>
      <c r="B227" s="50"/>
      <c r="C227" s="50"/>
      <c r="D227" s="143"/>
      <c r="E227" s="5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>
      <c r="A228" s="327"/>
      <c r="B228" s="50"/>
      <c r="C228" s="50"/>
      <c r="D228" s="143"/>
      <c r="E228" s="5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>
      <c r="A229" s="327"/>
      <c r="B229" s="50"/>
      <c r="C229" s="50"/>
      <c r="D229" s="143"/>
      <c r="E229" s="5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>
      <c r="A230" s="327"/>
      <c r="B230" s="50"/>
      <c r="C230" s="50"/>
      <c r="D230" s="143"/>
      <c r="E230" s="5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>
      <c r="A231" s="327"/>
      <c r="B231" s="50"/>
      <c r="C231" s="50"/>
      <c r="D231" s="143"/>
      <c r="E231" s="5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>
      <c r="A232" s="327"/>
      <c r="B232" s="50"/>
      <c r="C232" s="50"/>
      <c r="D232" s="143"/>
      <c r="E232" s="5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>
      <c r="A233" s="327"/>
      <c r="B233" s="50"/>
      <c r="C233" s="50"/>
      <c r="D233" s="143"/>
      <c r="E233" s="5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>
      <c r="A234" s="327"/>
      <c r="B234" s="50"/>
      <c r="C234" s="50"/>
      <c r="D234" s="143"/>
      <c r="E234" s="5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>
      <c r="A235" s="327"/>
      <c r="B235" s="50"/>
      <c r="C235" s="50"/>
      <c r="D235" s="143"/>
      <c r="E235" s="5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>
      <c r="A236" s="327"/>
      <c r="B236" s="50"/>
      <c r="C236" s="50"/>
      <c r="D236" s="143"/>
      <c r="E236" s="5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>
      <c r="A237" s="327"/>
      <c r="B237" s="50"/>
      <c r="C237" s="50"/>
      <c r="D237" s="143"/>
      <c r="E237" s="5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>
      <c r="A238" s="327"/>
      <c r="B238" s="50"/>
      <c r="C238" s="50"/>
      <c r="D238" s="143"/>
      <c r="E238" s="5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>
      <c r="A239" s="327"/>
      <c r="B239" s="50"/>
      <c r="C239" s="50"/>
      <c r="D239" s="143"/>
      <c r="E239" s="5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>
      <c r="A240" s="327"/>
      <c r="B240" s="50"/>
      <c r="C240" s="50"/>
      <c r="D240" s="143"/>
      <c r="E240" s="5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>
      <c r="A241" s="327"/>
      <c r="B241" s="50"/>
      <c r="C241" s="50"/>
      <c r="D241" s="143"/>
      <c r="E241" s="5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>
      <c r="A242" s="327"/>
      <c r="B242" s="50"/>
      <c r="C242" s="50"/>
      <c r="D242" s="143"/>
      <c r="E242" s="5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>
      <c r="A243" s="327"/>
      <c r="B243" s="50"/>
      <c r="C243" s="50"/>
      <c r="D243" s="143"/>
      <c r="E243" s="5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>
      <c r="A244" s="327"/>
      <c r="B244" s="50"/>
      <c r="C244" s="50"/>
      <c r="D244" s="143"/>
      <c r="E244" s="5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>
      <c r="A245" s="327"/>
      <c r="B245" s="50"/>
      <c r="C245" s="50"/>
      <c r="D245" s="143"/>
      <c r="E245" s="5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>
      <c r="A246" s="327"/>
      <c r="B246" s="50"/>
      <c r="C246" s="50"/>
      <c r="D246" s="143"/>
      <c r="E246" s="5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>
      <c r="A247" s="327"/>
      <c r="B247" s="50"/>
      <c r="C247" s="50"/>
      <c r="D247" s="143"/>
      <c r="E247" s="5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>
      <c r="A248" s="327"/>
      <c r="B248" s="50"/>
      <c r="C248" s="50"/>
      <c r="D248" s="143"/>
      <c r="E248" s="5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>
      <c r="A249" s="327"/>
      <c r="B249" s="50"/>
      <c r="C249" s="50"/>
      <c r="D249" s="143"/>
      <c r="E249" s="5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>
      <c r="A250" s="327"/>
      <c r="B250" s="50"/>
      <c r="C250" s="50"/>
      <c r="D250" s="143"/>
      <c r="E250" s="5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>
      <c r="A251" s="327"/>
      <c r="B251" s="50"/>
      <c r="C251" s="50"/>
      <c r="D251" s="143"/>
      <c r="E251" s="5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>
      <c r="A252" s="327"/>
      <c r="B252" s="50"/>
      <c r="C252" s="50"/>
      <c r="D252" s="143"/>
      <c r="E252" s="5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>
      <c r="A253" s="327"/>
      <c r="B253" s="50"/>
      <c r="C253" s="50"/>
      <c r="D253" s="143"/>
      <c r="E253" s="5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>
      <c r="A254" s="327"/>
      <c r="B254" s="50"/>
      <c r="C254" s="50"/>
      <c r="D254" s="143"/>
      <c r="E254" s="5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>
      <c r="A255" s="327"/>
      <c r="B255" s="50"/>
      <c r="C255" s="50"/>
      <c r="D255" s="143"/>
      <c r="E255" s="5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>
      <c r="A256" s="327"/>
      <c r="B256" s="50"/>
      <c r="C256" s="50"/>
      <c r="D256" s="143"/>
      <c r="E256" s="5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>
      <c r="A257" s="327"/>
      <c r="B257" s="50"/>
      <c r="C257" s="50"/>
      <c r="D257" s="143"/>
      <c r="E257" s="5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>
      <c r="A258" s="331"/>
    </row>
    <row r="259" spans="1:27" ht="15.75" customHeight="1">
      <c r="A259" s="331"/>
    </row>
    <row r="260" spans="1:27" ht="15.75" customHeight="1">
      <c r="A260" s="331"/>
    </row>
    <row r="261" spans="1:27" ht="15.75" customHeight="1">
      <c r="A261" s="331"/>
    </row>
    <row r="262" spans="1:27" ht="15.75" customHeight="1">
      <c r="A262" s="331"/>
    </row>
    <row r="263" spans="1:27" ht="15.75" customHeight="1">
      <c r="A263" s="331"/>
    </row>
    <row r="264" spans="1:27" ht="15.75" customHeight="1">
      <c r="A264" s="331"/>
    </row>
    <row r="265" spans="1:27" ht="15.75" customHeight="1">
      <c r="A265" s="331"/>
    </row>
    <row r="266" spans="1:27" ht="15.75" customHeight="1">
      <c r="A266" s="331"/>
    </row>
    <row r="267" spans="1:27" ht="15.75" customHeight="1">
      <c r="A267" s="331"/>
    </row>
    <row r="268" spans="1:27" ht="15.75" customHeight="1">
      <c r="A268" s="331"/>
    </row>
    <row r="269" spans="1:27" ht="15.75" customHeight="1">
      <c r="A269" s="331"/>
    </row>
    <row r="270" spans="1:27" ht="15.75" customHeight="1">
      <c r="A270" s="331"/>
    </row>
    <row r="271" spans="1:27" ht="15.75" customHeight="1">
      <c r="A271" s="331"/>
    </row>
    <row r="272" spans="1:27" ht="15.75" customHeight="1">
      <c r="A272" s="331"/>
    </row>
    <row r="273" spans="1:1" ht="15.75" customHeight="1">
      <c r="A273" s="331"/>
    </row>
    <row r="274" spans="1:1" ht="15.75" customHeight="1">
      <c r="A274" s="331"/>
    </row>
    <row r="275" spans="1:1" ht="15.75" customHeight="1">
      <c r="A275" s="331"/>
    </row>
    <row r="276" spans="1:1" ht="15.75" customHeight="1">
      <c r="A276" s="331"/>
    </row>
    <row r="277" spans="1:1" ht="15.75" customHeight="1">
      <c r="A277" s="331"/>
    </row>
    <row r="278" spans="1:1" ht="15.75" customHeight="1">
      <c r="A278" s="331"/>
    </row>
    <row r="279" spans="1:1" ht="15.75" customHeight="1">
      <c r="A279" s="331"/>
    </row>
    <row r="280" spans="1:1" ht="15.75" customHeight="1">
      <c r="A280" s="331"/>
    </row>
    <row r="281" spans="1:1" ht="15.75" customHeight="1">
      <c r="A281" s="331"/>
    </row>
    <row r="282" spans="1:1" ht="15.75" customHeight="1">
      <c r="A282" s="331"/>
    </row>
    <row r="283" spans="1:1" ht="15.75" customHeight="1">
      <c r="A283" s="331"/>
    </row>
    <row r="284" spans="1:1" ht="15.75" customHeight="1">
      <c r="A284" s="331"/>
    </row>
    <row r="285" spans="1:1" ht="15.75" customHeight="1">
      <c r="A285" s="331"/>
    </row>
    <row r="286" spans="1:1" ht="15.75" customHeight="1">
      <c r="A286" s="331"/>
    </row>
    <row r="287" spans="1:1" ht="15.75" customHeight="1">
      <c r="A287" s="331"/>
    </row>
    <row r="288" spans="1:1" ht="15.75" customHeight="1">
      <c r="A288" s="331"/>
    </row>
    <row r="289" spans="1:1" ht="15.75" customHeight="1">
      <c r="A289" s="331"/>
    </row>
    <row r="290" spans="1:1" ht="15.75" customHeight="1">
      <c r="A290" s="331"/>
    </row>
    <row r="291" spans="1:1" ht="15.75" customHeight="1">
      <c r="A291" s="331"/>
    </row>
    <row r="292" spans="1:1" ht="15.75" customHeight="1">
      <c r="A292" s="331"/>
    </row>
    <row r="293" spans="1:1" ht="15.75" customHeight="1">
      <c r="A293" s="331"/>
    </row>
    <row r="294" spans="1:1" ht="15.75" customHeight="1">
      <c r="A294" s="331"/>
    </row>
    <row r="295" spans="1:1" ht="15.75" customHeight="1">
      <c r="A295" s="331"/>
    </row>
    <row r="296" spans="1:1" ht="15.75" customHeight="1">
      <c r="A296" s="331"/>
    </row>
    <row r="297" spans="1:1" ht="15.75" customHeight="1">
      <c r="A297" s="331"/>
    </row>
    <row r="298" spans="1:1" ht="15.75" customHeight="1">
      <c r="A298" s="331"/>
    </row>
    <row r="299" spans="1:1" ht="15.75" customHeight="1">
      <c r="A299" s="331"/>
    </row>
    <row r="300" spans="1:1" ht="15.75" customHeight="1">
      <c r="A300" s="331"/>
    </row>
    <row r="301" spans="1:1" ht="15.75" customHeight="1">
      <c r="A301" s="331"/>
    </row>
    <row r="302" spans="1:1" ht="15.75" customHeight="1">
      <c r="A302" s="331"/>
    </row>
    <row r="303" spans="1:1" ht="15.75" customHeight="1">
      <c r="A303" s="331"/>
    </row>
    <row r="304" spans="1:1" ht="15.75" customHeight="1">
      <c r="A304" s="331"/>
    </row>
    <row r="305" spans="1:1" ht="15.75" customHeight="1">
      <c r="A305" s="331"/>
    </row>
    <row r="306" spans="1:1" ht="15.75" customHeight="1">
      <c r="A306" s="331"/>
    </row>
    <row r="307" spans="1:1" ht="15.75" customHeight="1">
      <c r="A307" s="331"/>
    </row>
    <row r="308" spans="1:1" ht="15.75" customHeight="1">
      <c r="A308" s="331"/>
    </row>
    <row r="309" spans="1:1" ht="15.75" customHeight="1">
      <c r="A309" s="331"/>
    </row>
    <row r="310" spans="1:1" ht="15.75" customHeight="1">
      <c r="A310" s="331"/>
    </row>
    <row r="311" spans="1:1" ht="15.75" customHeight="1">
      <c r="A311" s="331"/>
    </row>
    <row r="312" spans="1:1" ht="15.75" customHeight="1">
      <c r="A312" s="331"/>
    </row>
    <row r="313" spans="1:1" ht="15.75" customHeight="1">
      <c r="A313" s="331"/>
    </row>
    <row r="314" spans="1:1" ht="15.75" customHeight="1">
      <c r="A314" s="331"/>
    </row>
    <row r="315" spans="1:1" ht="15.75" customHeight="1">
      <c r="A315" s="331"/>
    </row>
    <row r="316" spans="1:1" ht="15.75" customHeight="1">
      <c r="A316" s="331"/>
    </row>
    <row r="317" spans="1:1" ht="15.75" customHeight="1">
      <c r="A317" s="331"/>
    </row>
    <row r="318" spans="1:1" ht="15.75" customHeight="1">
      <c r="A318" s="331"/>
    </row>
    <row r="319" spans="1:1" ht="15.75" customHeight="1">
      <c r="A319" s="331"/>
    </row>
    <row r="320" spans="1:1" ht="15.75" customHeight="1">
      <c r="A320" s="331"/>
    </row>
    <row r="321" spans="1:1" ht="15.75" customHeight="1">
      <c r="A321" s="331"/>
    </row>
    <row r="322" spans="1:1" ht="15.75" customHeight="1">
      <c r="A322" s="331"/>
    </row>
    <row r="323" spans="1:1" ht="15.75" customHeight="1">
      <c r="A323" s="331"/>
    </row>
    <row r="324" spans="1:1" ht="15.75" customHeight="1">
      <c r="A324" s="331"/>
    </row>
    <row r="325" spans="1:1" ht="15.75" customHeight="1">
      <c r="A325" s="331"/>
    </row>
    <row r="326" spans="1:1" ht="15.75" customHeight="1">
      <c r="A326" s="331"/>
    </row>
    <row r="327" spans="1:1" ht="15.75" customHeight="1">
      <c r="A327" s="331"/>
    </row>
    <row r="328" spans="1:1" ht="15.75" customHeight="1">
      <c r="A328" s="331"/>
    </row>
    <row r="329" spans="1:1" ht="15.75" customHeight="1">
      <c r="A329" s="331"/>
    </row>
    <row r="330" spans="1:1" ht="15.75" customHeight="1">
      <c r="A330" s="331"/>
    </row>
    <row r="331" spans="1:1" ht="15.75" customHeight="1">
      <c r="A331" s="331"/>
    </row>
    <row r="332" spans="1:1" ht="15.75" customHeight="1">
      <c r="A332" s="331"/>
    </row>
    <row r="333" spans="1:1" ht="15.75" customHeight="1">
      <c r="A333" s="331"/>
    </row>
    <row r="334" spans="1:1" ht="15.75" customHeight="1">
      <c r="A334" s="331"/>
    </row>
    <row r="335" spans="1:1" ht="15.75" customHeight="1">
      <c r="A335" s="331"/>
    </row>
    <row r="336" spans="1:1" ht="15.75" customHeight="1">
      <c r="A336" s="331"/>
    </row>
    <row r="337" spans="1:1" ht="15.75" customHeight="1">
      <c r="A337" s="331"/>
    </row>
    <row r="338" spans="1:1" ht="15.75" customHeight="1">
      <c r="A338" s="331"/>
    </row>
    <row r="339" spans="1:1" ht="15.75" customHeight="1">
      <c r="A339" s="331"/>
    </row>
    <row r="340" spans="1:1" ht="15.75" customHeight="1">
      <c r="A340" s="331"/>
    </row>
    <row r="341" spans="1:1" ht="15.75" customHeight="1">
      <c r="A341" s="331"/>
    </row>
    <row r="342" spans="1:1" ht="15.75" customHeight="1">
      <c r="A342" s="331"/>
    </row>
    <row r="343" spans="1:1" ht="15.75" customHeight="1">
      <c r="A343" s="331"/>
    </row>
    <row r="344" spans="1:1" ht="15.75" customHeight="1">
      <c r="A344" s="331"/>
    </row>
    <row r="345" spans="1:1" ht="15.75" customHeight="1">
      <c r="A345" s="331"/>
    </row>
    <row r="346" spans="1:1" ht="15.75" customHeight="1">
      <c r="A346" s="331"/>
    </row>
    <row r="347" spans="1:1" ht="15.75" customHeight="1">
      <c r="A347" s="331"/>
    </row>
    <row r="348" spans="1:1" ht="15.75" customHeight="1">
      <c r="A348" s="331"/>
    </row>
    <row r="349" spans="1:1" ht="15.75" customHeight="1">
      <c r="A349" s="331"/>
    </row>
    <row r="350" spans="1:1" ht="15.75" customHeight="1">
      <c r="A350" s="331"/>
    </row>
    <row r="351" spans="1:1" ht="15.75" customHeight="1">
      <c r="A351" s="331"/>
    </row>
    <row r="352" spans="1:1" ht="15.75" customHeight="1">
      <c r="A352" s="331"/>
    </row>
    <row r="353" spans="1:1" ht="15.75" customHeight="1">
      <c r="A353" s="331"/>
    </row>
    <row r="354" spans="1:1" ht="15.75" customHeight="1">
      <c r="A354" s="331"/>
    </row>
    <row r="355" spans="1:1" ht="15.75" customHeight="1">
      <c r="A355" s="331"/>
    </row>
    <row r="356" spans="1:1" ht="15.75" customHeight="1">
      <c r="A356" s="331"/>
    </row>
    <row r="357" spans="1:1" ht="15.75" customHeight="1">
      <c r="A357" s="331"/>
    </row>
    <row r="358" spans="1:1" ht="15.75" customHeight="1">
      <c r="A358" s="331"/>
    </row>
    <row r="359" spans="1:1" ht="15.75" customHeight="1">
      <c r="A359" s="331"/>
    </row>
    <row r="360" spans="1:1" ht="15.75" customHeight="1">
      <c r="A360" s="331"/>
    </row>
    <row r="361" spans="1:1" ht="15.75" customHeight="1">
      <c r="A361" s="331"/>
    </row>
    <row r="362" spans="1:1" ht="15.75" customHeight="1">
      <c r="A362" s="331"/>
    </row>
    <row r="363" spans="1:1" ht="15.75" customHeight="1">
      <c r="A363" s="331"/>
    </row>
    <row r="364" spans="1:1" ht="15.75" customHeight="1">
      <c r="A364" s="331"/>
    </row>
    <row r="365" spans="1:1" ht="15.75" customHeight="1">
      <c r="A365" s="331"/>
    </row>
    <row r="366" spans="1:1" ht="15.75" customHeight="1">
      <c r="A366" s="331"/>
    </row>
    <row r="367" spans="1:1" ht="15.75" customHeight="1">
      <c r="A367" s="331"/>
    </row>
    <row r="368" spans="1:1" ht="15.75" customHeight="1">
      <c r="A368" s="331"/>
    </row>
    <row r="369" spans="1:1" ht="15.75" customHeight="1">
      <c r="A369" s="331"/>
    </row>
    <row r="370" spans="1:1" ht="15.75" customHeight="1">
      <c r="A370" s="331"/>
    </row>
    <row r="371" spans="1:1" ht="15.75" customHeight="1">
      <c r="A371" s="331"/>
    </row>
    <row r="372" spans="1:1" ht="15.75" customHeight="1">
      <c r="A372" s="331"/>
    </row>
    <row r="373" spans="1:1" ht="15.75" customHeight="1">
      <c r="A373" s="331"/>
    </row>
    <row r="374" spans="1:1" ht="15.75" customHeight="1">
      <c r="A374" s="331"/>
    </row>
    <row r="375" spans="1:1" ht="15.75" customHeight="1">
      <c r="A375" s="331"/>
    </row>
    <row r="376" spans="1:1" ht="15.75" customHeight="1">
      <c r="A376" s="331"/>
    </row>
    <row r="377" spans="1:1" ht="15.75" customHeight="1">
      <c r="A377" s="331"/>
    </row>
    <row r="378" spans="1:1" ht="15.75" customHeight="1">
      <c r="A378" s="331"/>
    </row>
    <row r="379" spans="1:1" ht="15.75" customHeight="1">
      <c r="A379" s="331"/>
    </row>
    <row r="380" spans="1:1" ht="15.75" customHeight="1">
      <c r="A380" s="331"/>
    </row>
    <row r="381" spans="1:1" ht="15.75" customHeight="1">
      <c r="A381" s="331"/>
    </row>
    <row r="382" spans="1:1" ht="15.75" customHeight="1">
      <c r="A382" s="331"/>
    </row>
    <row r="383" spans="1:1" ht="15.75" customHeight="1">
      <c r="A383" s="331"/>
    </row>
    <row r="384" spans="1:1" ht="15.75" customHeight="1">
      <c r="A384" s="331"/>
    </row>
    <row r="385" spans="1:1" ht="15.75" customHeight="1">
      <c r="A385" s="331"/>
    </row>
    <row r="386" spans="1:1" ht="15.75" customHeight="1">
      <c r="A386" s="331"/>
    </row>
    <row r="387" spans="1:1" ht="15.75" customHeight="1">
      <c r="A387" s="331"/>
    </row>
    <row r="388" spans="1:1" ht="15.75" customHeight="1">
      <c r="A388" s="331"/>
    </row>
    <row r="389" spans="1:1" ht="15.75" customHeight="1">
      <c r="A389" s="331"/>
    </row>
    <row r="390" spans="1:1" ht="15.75" customHeight="1">
      <c r="A390" s="331"/>
    </row>
    <row r="391" spans="1:1" ht="15.75" customHeight="1">
      <c r="A391" s="331"/>
    </row>
    <row r="392" spans="1:1" ht="15.75" customHeight="1">
      <c r="A392" s="331"/>
    </row>
    <row r="393" spans="1:1" ht="15.75" customHeight="1">
      <c r="A393" s="331"/>
    </row>
    <row r="394" spans="1:1" ht="15.75" customHeight="1">
      <c r="A394" s="331"/>
    </row>
    <row r="395" spans="1:1" ht="15.75" customHeight="1">
      <c r="A395" s="331"/>
    </row>
    <row r="396" spans="1:1" ht="15.75" customHeight="1">
      <c r="A396" s="331"/>
    </row>
    <row r="397" spans="1:1" ht="15.75" customHeight="1">
      <c r="A397" s="331"/>
    </row>
    <row r="398" spans="1:1" ht="15.75" customHeight="1">
      <c r="A398" s="331"/>
    </row>
    <row r="399" spans="1:1" ht="15.75" customHeight="1">
      <c r="A399" s="331"/>
    </row>
    <row r="400" spans="1:1" ht="15.75" customHeight="1">
      <c r="A400" s="331"/>
    </row>
    <row r="401" spans="1:1" ht="15.75" customHeight="1">
      <c r="A401" s="331"/>
    </row>
    <row r="402" spans="1:1" ht="15.75" customHeight="1">
      <c r="A402" s="331"/>
    </row>
    <row r="403" spans="1:1" ht="15.75" customHeight="1">
      <c r="A403" s="331"/>
    </row>
    <row r="404" spans="1:1" ht="15.75" customHeight="1">
      <c r="A404" s="331"/>
    </row>
    <row r="405" spans="1:1" ht="15.75" customHeight="1">
      <c r="A405" s="331"/>
    </row>
    <row r="406" spans="1:1" ht="15.75" customHeight="1">
      <c r="A406" s="331"/>
    </row>
    <row r="407" spans="1:1" ht="15.75" customHeight="1">
      <c r="A407" s="331"/>
    </row>
    <row r="408" spans="1:1" ht="15.75" customHeight="1">
      <c r="A408" s="331"/>
    </row>
    <row r="409" spans="1:1" ht="15.75" customHeight="1">
      <c r="A409" s="331"/>
    </row>
    <row r="410" spans="1:1" ht="15.75" customHeight="1">
      <c r="A410" s="331"/>
    </row>
    <row r="411" spans="1:1" ht="15.75" customHeight="1">
      <c r="A411" s="331"/>
    </row>
    <row r="412" spans="1:1" ht="15.75" customHeight="1">
      <c r="A412" s="331"/>
    </row>
    <row r="413" spans="1:1" ht="15.75" customHeight="1">
      <c r="A413" s="331"/>
    </row>
    <row r="414" spans="1:1" ht="15.75" customHeight="1">
      <c r="A414" s="331"/>
    </row>
    <row r="415" spans="1:1" ht="15.75" customHeight="1">
      <c r="A415" s="331"/>
    </row>
    <row r="416" spans="1:1" ht="15.75" customHeight="1">
      <c r="A416" s="331"/>
    </row>
    <row r="417" spans="1:1" ht="15.75" customHeight="1">
      <c r="A417" s="331"/>
    </row>
    <row r="418" spans="1:1" ht="15.75" customHeight="1">
      <c r="A418" s="331"/>
    </row>
    <row r="419" spans="1:1" ht="15.75" customHeight="1">
      <c r="A419" s="331"/>
    </row>
    <row r="420" spans="1:1" ht="15.75" customHeight="1">
      <c r="A420" s="331"/>
    </row>
    <row r="421" spans="1:1" ht="15.75" customHeight="1">
      <c r="A421" s="331"/>
    </row>
    <row r="422" spans="1:1" ht="15.75" customHeight="1">
      <c r="A422" s="331"/>
    </row>
    <row r="423" spans="1:1" ht="15.75" customHeight="1">
      <c r="A423" s="331"/>
    </row>
    <row r="424" spans="1:1" ht="15.75" customHeight="1">
      <c r="A424" s="331"/>
    </row>
    <row r="425" spans="1:1" ht="15.75" customHeight="1">
      <c r="A425" s="331"/>
    </row>
    <row r="426" spans="1:1" ht="15.75" customHeight="1">
      <c r="A426" s="331"/>
    </row>
    <row r="427" spans="1:1" ht="15.75" customHeight="1">
      <c r="A427" s="331"/>
    </row>
    <row r="428" spans="1:1" ht="15.75" customHeight="1">
      <c r="A428" s="331"/>
    </row>
    <row r="429" spans="1:1" ht="15.75" customHeight="1">
      <c r="A429" s="331"/>
    </row>
    <row r="430" spans="1:1" ht="15.75" customHeight="1">
      <c r="A430" s="331"/>
    </row>
    <row r="431" spans="1:1" ht="15.75" customHeight="1">
      <c r="A431" s="331"/>
    </row>
    <row r="432" spans="1:1" ht="15.75" customHeight="1">
      <c r="A432" s="331"/>
    </row>
    <row r="433" spans="1:1" ht="15.75" customHeight="1">
      <c r="A433" s="331"/>
    </row>
    <row r="434" spans="1:1" ht="15.75" customHeight="1">
      <c r="A434" s="331"/>
    </row>
    <row r="435" spans="1:1" ht="15.75" customHeight="1">
      <c r="A435" s="331"/>
    </row>
    <row r="436" spans="1:1" ht="15.75" customHeight="1">
      <c r="A436" s="331"/>
    </row>
    <row r="437" spans="1:1" ht="15.75" customHeight="1">
      <c r="A437" s="331"/>
    </row>
    <row r="438" spans="1:1" ht="15.75" customHeight="1">
      <c r="A438" s="331"/>
    </row>
    <row r="439" spans="1:1" ht="15.75" customHeight="1">
      <c r="A439" s="331"/>
    </row>
    <row r="440" spans="1:1" ht="15.75" customHeight="1">
      <c r="A440" s="331"/>
    </row>
    <row r="441" spans="1:1" ht="15.75" customHeight="1">
      <c r="A441" s="331"/>
    </row>
    <row r="442" spans="1:1" ht="15.75" customHeight="1">
      <c r="A442" s="331"/>
    </row>
    <row r="443" spans="1:1" ht="15.75" customHeight="1">
      <c r="A443" s="331"/>
    </row>
    <row r="444" spans="1:1" ht="15.75" customHeight="1">
      <c r="A444" s="331"/>
    </row>
    <row r="445" spans="1:1" ht="15.75" customHeight="1">
      <c r="A445" s="331"/>
    </row>
    <row r="446" spans="1:1" ht="15.75" customHeight="1">
      <c r="A446" s="331"/>
    </row>
    <row r="447" spans="1:1" ht="15.75" customHeight="1">
      <c r="A447" s="331"/>
    </row>
    <row r="448" spans="1:1" ht="15.75" customHeight="1">
      <c r="A448" s="331"/>
    </row>
    <row r="449" spans="1:1" ht="15.75" customHeight="1">
      <c r="A449" s="331"/>
    </row>
    <row r="450" spans="1:1" ht="15.75" customHeight="1">
      <c r="A450" s="331"/>
    </row>
    <row r="451" spans="1:1" ht="15.75" customHeight="1">
      <c r="A451" s="331"/>
    </row>
    <row r="452" spans="1:1" ht="15.75" customHeight="1">
      <c r="A452" s="331"/>
    </row>
    <row r="453" spans="1:1" ht="15.75" customHeight="1">
      <c r="A453" s="331"/>
    </row>
    <row r="454" spans="1:1" ht="15.75" customHeight="1">
      <c r="A454" s="331"/>
    </row>
    <row r="455" spans="1:1" ht="15.75" customHeight="1">
      <c r="A455" s="331"/>
    </row>
    <row r="456" spans="1:1" ht="15.75" customHeight="1">
      <c r="A456" s="331"/>
    </row>
    <row r="457" spans="1:1" ht="15.75" customHeight="1">
      <c r="A457" s="331"/>
    </row>
    <row r="458" spans="1:1" ht="15.75" customHeight="1">
      <c r="A458" s="331"/>
    </row>
    <row r="459" spans="1:1" ht="15.75" customHeight="1">
      <c r="A459" s="331"/>
    </row>
    <row r="460" spans="1:1" ht="15.75" customHeight="1">
      <c r="A460" s="331"/>
    </row>
    <row r="461" spans="1:1" ht="15.75" customHeight="1">
      <c r="A461" s="331"/>
    </row>
    <row r="462" spans="1:1" ht="15.75" customHeight="1">
      <c r="A462" s="331"/>
    </row>
    <row r="463" spans="1:1" ht="15.75" customHeight="1">
      <c r="A463" s="331"/>
    </row>
    <row r="464" spans="1:1" ht="15.75" customHeight="1">
      <c r="A464" s="331"/>
    </row>
    <row r="465" spans="1:1" ht="15.75" customHeight="1">
      <c r="A465" s="331"/>
    </row>
    <row r="466" spans="1:1" ht="15.75" customHeight="1">
      <c r="A466" s="331"/>
    </row>
    <row r="467" spans="1:1" ht="15.75" customHeight="1">
      <c r="A467" s="331"/>
    </row>
    <row r="468" spans="1:1" ht="15.75" customHeight="1">
      <c r="A468" s="331"/>
    </row>
    <row r="469" spans="1:1" ht="15.75" customHeight="1">
      <c r="A469" s="331"/>
    </row>
    <row r="470" spans="1:1" ht="15.75" customHeight="1">
      <c r="A470" s="331"/>
    </row>
    <row r="471" spans="1:1" ht="15.75" customHeight="1">
      <c r="A471" s="331"/>
    </row>
    <row r="472" spans="1:1" ht="15.75" customHeight="1">
      <c r="A472" s="331"/>
    </row>
    <row r="473" spans="1:1" ht="15.75" customHeight="1">
      <c r="A473" s="331"/>
    </row>
    <row r="474" spans="1:1" ht="15.75" customHeight="1">
      <c r="A474" s="331"/>
    </row>
    <row r="475" spans="1:1" ht="15.75" customHeight="1">
      <c r="A475" s="331"/>
    </row>
    <row r="476" spans="1:1" ht="15.75" customHeight="1">
      <c r="A476" s="331"/>
    </row>
    <row r="477" spans="1:1" ht="15.75" customHeight="1">
      <c r="A477" s="331"/>
    </row>
    <row r="478" spans="1:1" ht="15.75" customHeight="1">
      <c r="A478" s="331"/>
    </row>
    <row r="479" spans="1:1" ht="15.75" customHeight="1">
      <c r="A479" s="331"/>
    </row>
    <row r="480" spans="1:1" ht="15.75" customHeight="1">
      <c r="A480" s="331"/>
    </row>
    <row r="481" spans="1:1" ht="15.75" customHeight="1">
      <c r="A481" s="331"/>
    </row>
    <row r="482" spans="1:1" ht="15.75" customHeight="1">
      <c r="A482" s="331"/>
    </row>
    <row r="483" spans="1:1" ht="15.75" customHeight="1">
      <c r="A483" s="331"/>
    </row>
    <row r="484" spans="1:1" ht="15.75" customHeight="1">
      <c r="A484" s="331"/>
    </row>
    <row r="485" spans="1:1" ht="15.75" customHeight="1">
      <c r="A485" s="331"/>
    </row>
    <row r="486" spans="1:1" ht="15.75" customHeight="1">
      <c r="A486" s="331"/>
    </row>
    <row r="487" spans="1:1" ht="15.75" customHeight="1">
      <c r="A487" s="331"/>
    </row>
    <row r="488" spans="1:1" ht="15.75" customHeight="1">
      <c r="A488" s="331"/>
    </row>
    <row r="489" spans="1:1" ht="15.75" customHeight="1">
      <c r="A489" s="331"/>
    </row>
    <row r="490" spans="1:1" ht="15.75" customHeight="1">
      <c r="A490" s="331"/>
    </row>
    <row r="491" spans="1:1" ht="15.75" customHeight="1">
      <c r="A491" s="331"/>
    </row>
    <row r="492" spans="1:1" ht="15.75" customHeight="1">
      <c r="A492" s="331"/>
    </row>
    <row r="493" spans="1:1" ht="15.75" customHeight="1">
      <c r="A493" s="331"/>
    </row>
    <row r="494" spans="1:1" ht="15.75" customHeight="1">
      <c r="A494" s="331"/>
    </row>
    <row r="495" spans="1:1" ht="15.75" customHeight="1">
      <c r="A495" s="331"/>
    </row>
    <row r="496" spans="1:1" ht="15.75" customHeight="1">
      <c r="A496" s="331"/>
    </row>
    <row r="497" spans="1:1" ht="15.75" customHeight="1">
      <c r="A497" s="331"/>
    </row>
    <row r="498" spans="1:1" ht="15.75" customHeight="1">
      <c r="A498" s="331"/>
    </row>
    <row r="499" spans="1:1" ht="15.75" customHeight="1">
      <c r="A499" s="331"/>
    </row>
    <row r="500" spans="1:1" ht="15.75" customHeight="1">
      <c r="A500" s="331"/>
    </row>
    <row r="501" spans="1:1" ht="15.75" customHeight="1">
      <c r="A501" s="331"/>
    </row>
    <row r="502" spans="1:1" ht="15.75" customHeight="1">
      <c r="A502" s="331"/>
    </row>
    <row r="503" spans="1:1" ht="15.75" customHeight="1">
      <c r="A503" s="331"/>
    </row>
    <row r="504" spans="1:1" ht="15.75" customHeight="1">
      <c r="A504" s="331"/>
    </row>
    <row r="505" spans="1:1" ht="15.75" customHeight="1">
      <c r="A505" s="331"/>
    </row>
    <row r="506" spans="1:1" ht="15.75" customHeight="1">
      <c r="A506" s="331"/>
    </row>
    <row r="507" spans="1:1" ht="15.75" customHeight="1">
      <c r="A507" s="331"/>
    </row>
    <row r="508" spans="1:1" ht="15.75" customHeight="1">
      <c r="A508" s="331"/>
    </row>
    <row r="509" spans="1:1" ht="15.75" customHeight="1">
      <c r="A509" s="331"/>
    </row>
    <row r="510" spans="1:1" ht="15.75" customHeight="1">
      <c r="A510" s="331"/>
    </row>
    <row r="511" spans="1:1" ht="15.75" customHeight="1">
      <c r="A511" s="331"/>
    </row>
    <row r="512" spans="1:1" ht="15.75" customHeight="1">
      <c r="A512" s="331"/>
    </row>
    <row r="513" spans="1:1" ht="15.75" customHeight="1">
      <c r="A513" s="331"/>
    </row>
    <row r="514" spans="1:1" ht="15.75" customHeight="1">
      <c r="A514" s="331"/>
    </row>
    <row r="515" spans="1:1" ht="15.75" customHeight="1">
      <c r="A515" s="331"/>
    </row>
    <row r="516" spans="1:1" ht="15.75" customHeight="1">
      <c r="A516" s="331"/>
    </row>
    <row r="517" spans="1:1" ht="15.75" customHeight="1">
      <c r="A517" s="331"/>
    </row>
    <row r="518" spans="1:1" ht="15.75" customHeight="1">
      <c r="A518" s="331"/>
    </row>
    <row r="519" spans="1:1" ht="15.75" customHeight="1">
      <c r="A519" s="331"/>
    </row>
    <row r="520" spans="1:1" ht="15.75" customHeight="1">
      <c r="A520" s="331"/>
    </row>
    <row r="521" spans="1:1" ht="15.75" customHeight="1">
      <c r="A521" s="331"/>
    </row>
    <row r="522" spans="1:1" ht="15.75" customHeight="1">
      <c r="A522" s="331"/>
    </row>
    <row r="523" spans="1:1" ht="15.75" customHeight="1">
      <c r="A523" s="331"/>
    </row>
    <row r="524" spans="1:1" ht="15.75" customHeight="1">
      <c r="A524" s="331"/>
    </row>
    <row r="525" spans="1:1" ht="15.75" customHeight="1">
      <c r="A525" s="331"/>
    </row>
    <row r="526" spans="1:1" ht="15.75" customHeight="1">
      <c r="A526" s="331"/>
    </row>
    <row r="527" spans="1:1" ht="15.75" customHeight="1">
      <c r="A527" s="331"/>
    </row>
    <row r="528" spans="1:1" ht="15.75" customHeight="1">
      <c r="A528" s="331"/>
    </row>
    <row r="529" spans="1:1" ht="15.75" customHeight="1">
      <c r="A529" s="331"/>
    </row>
    <row r="530" spans="1:1" ht="15.75" customHeight="1">
      <c r="A530" s="331"/>
    </row>
    <row r="531" spans="1:1" ht="15.75" customHeight="1">
      <c r="A531" s="331"/>
    </row>
    <row r="532" spans="1:1" ht="15.75" customHeight="1">
      <c r="A532" s="331"/>
    </row>
    <row r="533" spans="1:1" ht="15.75" customHeight="1">
      <c r="A533" s="331"/>
    </row>
    <row r="534" spans="1:1" ht="15.75" customHeight="1">
      <c r="A534" s="331"/>
    </row>
    <row r="535" spans="1:1" ht="15.75" customHeight="1">
      <c r="A535" s="331"/>
    </row>
    <row r="536" spans="1:1" ht="15.75" customHeight="1">
      <c r="A536" s="331"/>
    </row>
    <row r="537" spans="1:1" ht="15.75" customHeight="1">
      <c r="A537" s="331"/>
    </row>
    <row r="538" spans="1:1" ht="15.75" customHeight="1">
      <c r="A538" s="331"/>
    </row>
    <row r="539" spans="1:1" ht="15.75" customHeight="1">
      <c r="A539" s="331"/>
    </row>
    <row r="540" spans="1:1" ht="15.75" customHeight="1">
      <c r="A540" s="331"/>
    </row>
    <row r="541" spans="1:1" ht="15.75" customHeight="1">
      <c r="A541" s="331"/>
    </row>
    <row r="542" spans="1:1" ht="15.75" customHeight="1">
      <c r="A542" s="331"/>
    </row>
    <row r="543" spans="1:1" ht="15.75" customHeight="1">
      <c r="A543" s="331"/>
    </row>
    <row r="544" spans="1:1" ht="15.75" customHeight="1">
      <c r="A544" s="331"/>
    </row>
    <row r="545" spans="1:1" ht="15.75" customHeight="1">
      <c r="A545" s="331"/>
    </row>
    <row r="546" spans="1:1" ht="15.75" customHeight="1">
      <c r="A546" s="331"/>
    </row>
    <row r="547" spans="1:1" ht="15.75" customHeight="1">
      <c r="A547" s="331"/>
    </row>
    <row r="548" spans="1:1" ht="15.75" customHeight="1">
      <c r="A548" s="331"/>
    </row>
    <row r="549" spans="1:1" ht="15.75" customHeight="1">
      <c r="A549" s="331"/>
    </row>
    <row r="550" spans="1:1" ht="15.75" customHeight="1">
      <c r="A550" s="331"/>
    </row>
    <row r="551" spans="1:1" ht="15.75" customHeight="1">
      <c r="A551" s="331"/>
    </row>
    <row r="552" spans="1:1" ht="15.75" customHeight="1">
      <c r="A552" s="331"/>
    </row>
    <row r="553" spans="1:1" ht="15.75" customHeight="1">
      <c r="A553" s="331"/>
    </row>
    <row r="554" spans="1:1" ht="15.75" customHeight="1">
      <c r="A554" s="331"/>
    </row>
    <row r="555" spans="1:1" ht="15.75" customHeight="1">
      <c r="A555" s="331"/>
    </row>
    <row r="556" spans="1:1" ht="15.75" customHeight="1">
      <c r="A556" s="331"/>
    </row>
    <row r="557" spans="1:1" ht="15.75" customHeight="1">
      <c r="A557" s="331"/>
    </row>
    <row r="558" spans="1:1" ht="15.75" customHeight="1">
      <c r="A558" s="331"/>
    </row>
    <row r="559" spans="1:1" ht="15.75" customHeight="1">
      <c r="A559" s="331"/>
    </row>
    <row r="560" spans="1:1" ht="15.75" customHeight="1">
      <c r="A560" s="331"/>
    </row>
    <row r="561" spans="1:1" ht="15.75" customHeight="1">
      <c r="A561" s="331"/>
    </row>
    <row r="562" spans="1:1" ht="15.75" customHeight="1">
      <c r="A562" s="331"/>
    </row>
    <row r="563" spans="1:1" ht="15.75" customHeight="1">
      <c r="A563" s="331"/>
    </row>
    <row r="564" spans="1:1" ht="15.75" customHeight="1">
      <c r="A564" s="331"/>
    </row>
    <row r="565" spans="1:1" ht="15.75" customHeight="1">
      <c r="A565" s="331"/>
    </row>
    <row r="566" spans="1:1" ht="15.75" customHeight="1">
      <c r="A566" s="331"/>
    </row>
    <row r="567" spans="1:1" ht="15.75" customHeight="1">
      <c r="A567" s="331"/>
    </row>
    <row r="568" spans="1:1" ht="15.75" customHeight="1">
      <c r="A568" s="331"/>
    </row>
    <row r="569" spans="1:1" ht="15.75" customHeight="1">
      <c r="A569" s="331"/>
    </row>
    <row r="570" spans="1:1" ht="15.75" customHeight="1">
      <c r="A570" s="331"/>
    </row>
    <row r="571" spans="1:1" ht="15.75" customHeight="1">
      <c r="A571" s="331"/>
    </row>
    <row r="572" spans="1:1" ht="15.75" customHeight="1">
      <c r="A572" s="331"/>
    </row>
    <row r="573" spans="1:1" ht="15.75" customHeight="1">
      <c r="A573" s="331"/>
    </row>
    <row r="574" spans="1:1" ht="15.75" customHeight="1">
      <c r="A574" s="331"/>
    </row>
    <row r="575" spans="1:1" ht="15.75" customHeight="1">
      <c r="A575" s="331"/>
    </row>
    <row r="576" spans="1:1" ht="15.75" customHeight="1">
      <c r="A576" s="331"/>
    </row>
    <row r="577" spans="1:1" ht="15.75" customHeight="1">
      <c r="A577" s="331"/>
    </row>
    <row r="578" spans="1:1" ht="15.75" customHeight="1">
      <c r="A578" s="331"/>
    </row>
    <row r="579" spans="1:1" ht="15.75" customHeight="1">
      <c r="A579" s="331"/>
    </row>
    <row r="580" spans="1:1" ht="15.75" customHeight="1">
      <c r="A580" s="331"/>
    </row>
    <row r="581" spans="1:1" ht="15.75" customHeight="1">
      <c r="A581" s="331"/>
    </row>
    <row r="582" spans="1:1" ht="15.75" customHeight="1">
      <c r="A582" s="331"/>
    </row>
    <row r="583" spans="1:1" ht="15.75" customHeight="1">
      <c r="A583" s="331"/>
    </row>
    <row r="584" spans="1:1" ht="15.75" customHeight="1">
      <c r="A584" s="331"/>
    </row>
    <row r="585" spans="1:1" ht="15.75" customHeight="1">
      <c r="A585" s="331"/>
    </row>
    <row r="586" spans="1:1" ht="15.75" customHeight="1">
      <c r="A586" s="331"/>
    </row>
    <row r="587" spans="1:1" ht="15.75" customHeight="1">
      <c r="A587" s="331"/>
    </row>
    <row r="588" spans="1:1" ht="15.75" customHeight="1">
      <c r="A588" s="331"/>
    </row>
    <row r="589" spans="1:1" ht="15.75" customHeight="1">
      <c r="A589" s="331"/>
    </row>
    <row r="590" spans="1:1" ht="15.75" customHeight="1">
      <c r="A590" s="331"/>
    </row>
    <row r="591" spans="1:1" ht="15.75" customHeight="1">
      <c r="A591" s="331"/>
    </row>
    <row r="592" spans="1:1" ht="15.75" customHeight="1">
      <c r="A592" s="331"/>
    </row>
    <row r="593" spans="1:1" ht="15.75" customHeight="1">
      <c r="A593" s="331"/>
    </row>
    <row r="594" spans="1:1" ht="15.75" customHeight="1">
      <c r="A594" s="331"/>
    </row>
    <row r="595" spans="1:1" ht="15.75" customHeight="1">
      <c r="A595" s="331"/>
    </row>
    <row r="596" spans="1:1" ht="15.75" customHeight="1">
      <c r="A596" s="331"/>
    </row>
    <row r="597" spans="1:1" ht="15.75" customHeight="1">
      <c r="A597" s="331"/>
    </row>
    <row r="598" spans="1:1" ht="15.75" customHeight="1">
      <c r="A598" s="331"/>
    </row>
    <row r="599" spans="1:1" ht="15.75" customHeight="1">
      <c r="A599" s="331"/>
    </row>
    <row r="600" spans="1:1" ht="15.75" customHeight="1">
      <c r="A600" s="331"/>
    </row>
    <row r="601" spans="1:1" ht="15.75" customHeight="1">
      <c r="A601" s="331"/>
    </row>
    <row r="602" spans="1:1" ht="15.75" customHeight="1">
      <c r="A602" s="331"/>
    </row>
    <row r="603" spans="1:1" ht="15.75" customHeight="1">
      <c r="A603" s="331"/>
    </row>
    <row r="604" spans="1:1" ht="15.75" customHeight="1">
      <c r="A604" s="331"/>
    </row>
    <row r="605" spans="1:1" ht="15.75" customHeight="1">
      <c r="A605" s="331"/>
    </row>
    <row r="606" spans="1:1" ht="15.75" customHeight="1">
      <c r="A606" s="331"/>
    </row>
    <row r="607" spans="1:1" ht="15.75" customHeight="1">
      <c r="A607" s="331"/>
    </row>
    <row r="608" spans="1:1" ht="15.75" customHeight="1">
      <c r="A608" s="331"/>
    </row>
    <row r="609" spans="1:1" ht="15.75" customHeight="1">
      <c r="A609" s="331"/>
    </row>
    <row r="610" spans="1:1" ht="15.75" customHeight="1">
      <c r="A610" s="331"/>
    </row>
    <row r="611" spans="1:1" ht="15.75" customHeight="1">
      <c r="A611" s="331"/>
    </row>
    <row r="612" spans="1:1" ht="15.75" customHeight="1">
      <c r="A612" s="331"/>
    </row>
    <row r="613" spans="1:1" ht="15.75" customHeight="1">
      <c r="A613" s="331"/>
    </row>
    <row r="614" spans="1:1" ht="15.75" customHeight="1">
      <c r="A614" s="331"/>
    </row>
    <row r="615" spans="1:1" ht="15.75" customHeight="1">
      <c r="A615" s="331"/>
    </row>
    <row r="616" spans="1:1" ht="15.75" customHeight="1">
      <c r="A616" s="331"/>
    </row>
    <row r="617" spans="1:1" ht="15.75" customHeight="1">
      <c r="A617" s="331"/>
    </row>
    <row r="618" spans="1:1" ht="15.75" customHeight="1">
      <c r="A618" s="331"/>
    </row>
    <row r="619" spans="1:1" ht="15.75" customHeight="1">
      <c r="A619" s="331"/>
    </row>
    <row r="620" spans="1:1" ht="15.75" customHeight="1">
      <c r="A620" s="331"/>
    </row>
    <row r="621" spans="1:1" ht="15.75" customHeight="1">
      <c r="A621" s="331"/>
    </row>
    <row r="622" spans="1:1" ht="15.75" customHeight="1">
      <c r="A622" s="331"/>
    </row>
    <row r="623" spans="1:1" ht="15.75" customHeight="1">
      <c r="A623" s="331"/>
    </row>
    <row r="624" spans="1:1" ht="15.75" customHeight="1">
      <c r="A624" s="331"/>
    </row>
    <row r="625" spans="1:1" ht="15.75" customHeight="1">
      <c r="A625" s="331"/>
    </row>
    <row r="626" spans="1:1" ht="15.75" customHeight="1">
      <c r="A626" s="331"/>
    </row>
    <row r="627" spans="1:1" ht="15.75" customHeight="1">
      <c r="A627" s="331"/>
    </row>
    <row r="628" spans="1:1" ht="15.75" customHeight="1">
      <c r="A628" s="331"/>
    </row>
    <row r="629" spans="1:1" ht="15.75" customHeight="1">
      <c r="A629" s="331"/>
    </row>
    <row r="630" spans="1:1" ht="15.75" customHeight="1">
      <c r="A630" s="331"/>
    </row>
    <row r="631" spans="1:1" ht="15.75" customHeight="1">
      <c r="A631" s="331"/>
    </row>
    <row r="632" spans="1:1" ht="15.75" customHeight="1">
      <c r="A632" s="331"/>
    </row>
    <row r="633" spans="1:1" ht="15.75" customHeight="1">
      <c r="A633" s="331"/>
    </row>
    <row r="634" spans="1:1" ht="15.75" customHeight="1">
      <c r="A634" s="331"/>
    </row>
    <row r="635" spans="1:1" ht="15.75" customHeight="1">
      <c r="A635" s="331"/>
    </row>
    <row r="636" spans="1:1" ht="15.75" customHeight="1">
      <c r="A636" s="331"/>
    </row>
    <row r="637" spans="1:1" ht="15.75" customHeight="1">
      <c r="A637" s="331"/>
    </row>
    <row r="638" spans="1:1" ht="15.75" customHeight="1">
      <c r="A638" s="331"/>
    </row>
    <row r="639" spans="1:1" ht="15.75" customHeight="1">
      <c r="A639" s="331"/>
    </row>
    <row r="640" spans="1:1" ht="15.75" customHeight="1">
      <c r="A640" s="331"/>
    </row>
    <row r="641" spans="1:1" ht="15.75" customHeight="1">
      <c r="A641" s="331"/>
    </row>
    <row r="642" spans="1:1" ht="15.75" customHeight="1">
      <c r="A642" s="331"/>
    </row>
    <row r="643" spans="1:1" ht="15.75" customHeight="1">
      <c r="A643" s="331"/>
    </row>
    <row r="644" spans="1:1" ht="15.75" customHeight="1">
      <c r="A644" s="331"/>
    </row>
    <row r="645" spans="1:1" ht="15.75" customHeight="1">
      <c r="A645" s="331"/>
    </row>
    <row r="646" spans="1:1" ht="15.75" customHeight="1">
      <c r="A646" s="331"/>
    </row>
    <row r="647" spans="1:1" ht="15.75" customHeight="1">
      <c r="A647" s="331"/>
    </row>
    <row r="648" spans="1:1" ht="15.75" customHeight="1">
      <c r="A648" s="331"/>
    </row>
    <row r="649" spans="1:1" ht="15.75" customHeight="1">
      <c r="A649" s="331"/>
    </row>
    <row r="650" spans="1:1" ht="15.75" customHeight="1">
      <c r="A650" s="331"/>
    </row>
    <row r="651" spans="1:1" ht="15.75" customHeight="1">
      <c r="A651" s="331"/>
    </row>
    <row r="652" spans="1:1" ht="15.75" customHeight="1">
      <c r="A652" s="331"/>
    </row>
    <row r="653" spans="1:1" ht="15.75" customHeight="1">
      <c r="A653" s="331"/>
    </row>
    <row r="654" spans="1:1" ht="15.75" customHeight="1">
      <c r="A654" s="331"/>
    </row>
    <row r="655" spans="1:1" ht="15.75" customHeight="1">
      <c r="A655" s="331"/>
    </row>
    <row r="656" spans="1:1" ht="15.75" customHeight="1">
      <c r="A656" s="331"/>
    </row>
    <row r="657" spans="1:1" ht="15.75" customHeight="1">
      <c r="A657" s="331"/>
    </row>
    <row r="658" spans="1:1" ht="15.75" customHeight="1">
      <c r="A658" s="331"/>
    </row>
    <row r="659" spans="1:1" ht="15.75" customHeight="1">
      <c r="A659" s="331"/>
    </row>
    <row r="660" spans="1:1" ht="15.75" customHeight="1">
      <c r="A660" s="331"/>
    </row>
    <row r="661" spans="1:1" ht="15.75" customHeight="1">
      <c r="A661" s="331"/>
    </row>
    <row r="662" spans="1:1" ht="15.75" customHeight="1">
      <c r="A662" s="331"/>
    </row>
    <row r="663" spans="1:1" ht="15.75" customHeight="1">
      <c r="A663" s="331"/>
    </row>
    <row r="664" spans="1:1" ht="15.75" customHeight="1">
      <c r="A664" s="331"/>
    </row>
    <row r="665" spans="1:1" ht="15.75" customHeight="1">
      <c r="A665" s="331"/>
    </row>
    <row r="666" spans="1:1" ht="15.75" customHeight="1">
      <c r="A666" s="331"/>
    </row>
    <row r="667" spans="1:1" ht="15.75" customHeight="1">
      <c r="A667" s="331"/>
    </row>
    <row r="668" spans="1:1" ht="15.75" customHeight="1">
      <c r="A668" s="331"/>
    </row>
    <row r="669" spans="1:1" ht="15.75" customHeight="1">
      <c r="A669" s="331"/>
    </row>
    <row r="670" spans="1:1" ht="15.75" customHeight="1">
      <c r="A670" s="331"/>
    </row>
    <row r="671" spans="1:1" ht="15.75" customHeight="1">
      <c r="A671" s="331"/>
    </row>
    <row r="672" spans="1:1" ht="15.75" customHeight="1">
      <c r="A672" s="331"/>
    </row>
    <row r="673" spans="1:1" ht="15.75" customHeight="1">
      <c r="A673" s="331"/>
    </row>
    <row r="674" spans="1:1" ht="15.75" customHeight="1">
      <c r="A674" s="331"/>
    </row>
    <row r="675" spans="1:1" ht="15.75" customHeight="1">
      <c r="A675" s="331"/>
    </row>
    <row r="676" spans="1:1" ht="15.75" customHeight="1">
      <c r="A676" s="331"/>
    </row>
    <row r="677" spans="1:1" ht="15.75" customHeight="1">
      <c r="A677" s="331"/>
    </row>
    <row r="678" spans="1:1" ht="15.75" customHeight="1">
      <c r="A678" s="331"/>
    </row>
    <row r="679" spans="1:1" ht="15.75" customHeight="1">
      <c r="A679" s="331"/>
    </row>
    <row r="680" spans="1:1" ht="15.75" customHeight="1">
      <c r="A680" s="331"/>
    </row>
    <row r="681" spans="1:1" ht="15.75" customHeight="1">
      <c r="A681" s="331"/>
    </row>
    <row r="682" spans="1:1" ht="15.75" customHeight="1">
      <c r="A682" s="331"/>
    </row>
    <row r="683" spans="1:1" ht="15.75" customHeight="1">
      <c r="A683" s="331"/>
    </row>
    <row r="684" spans="1:1" ht="15.75" customHeight="1">
      <c r="A684" s="331"/>
    </row>
    <row r="685" spans="1:1" ht="15.75" customHeight="1">
      <c r="A685" s="331"/>
    </row>
    <row r="686" spans="1:1" ht="15.75" customHeight="1">
      <c r="A686" s="331"/>
    </row>
    <row r="687" spans="1:1" ht="15.75" customHeight="1">
      <c r="A687" s="331"/>
    </row>
    <row r="688" spans="1:1" ht="15.75" customHeight="1">
      <c r="A688" s="331"/>
    </row>
    <row r="689" spans="1:1" ht="15.75" customHeight="1">
      <c r="A689" s="331"/>
    </row>
    <row r="690" spans="1:1" ht="15.75" customHeight="1">
      <c r="A690" s="331"/>
    </row>
    <row r="691" spans="1:1" ht="15.75" customHeight="1">
      <c r="A691" s="331"/>
    </row>
    <row r="692" spans="1:1" ht="15.75" customHeight="1">
      <c r="A692" s="331"/>
    </row>
    <row r="693" spans="1:1" ht="15.75" customHeight="1">
      <c r="A693" s="331"/>
    </row>
    <row r="694" spans="1:1" ht="15.75" customHeight="1">
      <c r="A694" s="331"/>
    </row>
    <row r="695" spans="1:1" ht="15.75" customHeight="1">
      <c r="A695" s="331"/>
    </row>
    <row r="696" spans="1:1" ht="15.75" customHeight="1">
      <c r="A696" s="331"/>
    </row>
    <row r="697" spans="1:1" ht="15.75" customHeight="1">
      <c r="A697" s="331"/>
    </row>
    <row r="698" spans="1:1" ht="15.75" customHeight="1">
      <c r="A698" s="331"/>
    </row>
    <row r="699" spans="1:1" ht="15.75" customHeight="1">
      <c r="A699" s="331"/>
    </row>
    <row r="700" spans="1:1" ht="15.75" customHeight="1">
      <c r="A700" s="331"/>
    </row>
    <row r="701" spans="1:1" ht="15.75" customHeight="1">
      <c r="A701" s="331"/>
    </row>
    <row r="702" spans="1:1" ht="15.75" customHeight="1">
      <c r="A702" s="331"/>
    </row>
    <row r="703" spans="1:1" ht="15.75" customHeight="1">
      <c r="A703" s="331"/>
    </row>
    <row r="704" spans="1:1" ht="15.75" customHeight="1">
      <c r="A704" s="331"/>
    </row>
    <row r="705" spans="1:1" ht="15.75" customHeight="1">
      <c r="A705" s="331"/>
    </row>
    <row r="706" spans="1:1" ht="15.75" customHeight="1">
      <c r="A706" s="331"/>
    </row>
    <row r="707" spans="1:1" ht="15.75" customHeight="1">
      <c r="A707" s="331"/>
    </row>
    <row r="708" spans="1:1" ht="15.75" customHeight="1">
      <c r="A708" s="331"/>
    </row>
    <row r="709" spans="1:1" ht="15.75" customHeight="1">
      <c r="A709" s="331"/>
    </row>
    <row r="710" spans="1:1" ht="15.75" customHeight="1">
      <c r="A710" s="331"/>
    </row>
    <row r="711" spans="1:1" ht="15.75" customHeight="1">
      <c r="A711" s="331"/>
    </row>
    <row r="712" spans="1:1" ht="15.75" customHeight="1">
      <c r="A712" s="331"/>
    </row>
    <row r="713" spans="1:1" ht="15.75" customHeight="1">
      <c r="A713" s="331"/>
    </row>
    <row r="714" spans="1:1" ht="15.75" customHeight="1">
      <c r="A714" s="331"/>
    </row>
    <row r="715" spans="1:1" ht="15.75" customHeight="1">
      <c r="A715" s="331"/>
    </row>
    <row r="716" spans="1:1" ht="15.75" customHeight="1">
      <c r="A716" s="331"/>
    </row>
    <row r="717" spans="1:1" ht="15.75" customHeight="1">
      <c r="A717" s="331"/>
    </row>
    <row r="718" spans="1:1" ht="15.75" customHeight="1">
      <c r="A718" s="331"/>
    </row>
    <row r="719" spans="1:1" ht="15.75" customHeight="1">
      <c r="A719" s="331"/>
    </row>
    <row r="720" spans="1:1" ht="15.75" customHeight="1">
      <c r="A720" s="331"/>
    </row>
    <row r="721" spans="1:1" ht="15.75" customHeight="1">
      <c r="A721" s="331"/>
    </row>
    <row r="722" spans="1:1" ht="15.75" customHeight="1">
      <c r="A722" s="331"/>
    </row>
    <row r="723" spans="1:1" ht="15.75" customHeight="1">
      <c r="A723" s="331"/>
    </row>
    <row r="724" spans="1:1" ht="15.75" customHeight="1">
      <c r="A724" s="331"/>
    </row>
    <row r="725" spans="1:1" ht="15.75" customHeight="1">
      <c r="A725" s="331"/>
    </row>
    <row r="726" spans="1:1" ht="15.75" customHeight="1">
      <c r="A726" s="331"/>
    </row>
    <row r="727" spans="1:1" ht="15.75" customHeight="1">
      <c r="A727" s="331"/>
    </row>
    <row r="728" spans="1:1" ht="15.75" customHeight="1">
      <c r="A728" s="331"/>
    </row>
    <row r="729" spans="1:1" ht="15.75" customHeight="1">
      <c r="A729" s="331"/>
    </row>
    <row r="730" spans="1:1" ht="15.75" customHeight="1">
      <c r="A730" s="331"/>
    </row>
    <row r="731" spans="1:1" ht="15.75" customHeight="1">
      <c r="A731" s="331"/>
    </row>
    <row r="732" spans="1:1" ht="15.75" customHeight="1">
      <c r="A732" s="331"/>
    </row>
    <row r="733" spans="1:1" ht="15.75" customHeight="1">
      <c r="A733" s="331"/>
    </row>
    <row r="734" spans="1:1" ht="15.75" customHeight="1">
      <c r="A734" s="331"/>
    </row>
    <row r="735" spans="1:1" ht="15.75" customHeight="1">
      <c r="A735" s="331"/>
    </row>
    <row r="736" spans="1:1" ht="15.75" customHeight="1">
      <c r="A736" s="331"/>
    </row>
    <row r="737" spans="1:1" ht="15.75" customHeight="1">
      <c r="A737" s="331"/>
    </row>
    <row r="738" spans="1:1" ht="15.75" customHeight="1">
      <c r="A738" s="331"/>
    </row>
    <row r="739" spans="1:1" ht="15.75" customHeight="1">
      <c r="A739" s="331"/>
    </row>
    <row r="740" spans="1:1" ht="15.75" customHeight="1">
      <c r="A740" s="331"/>
    </row>
    <row r="741" spans="1:1" ht="15.75" customHeight="1">
      <c r="A741" s="331"/>
    </row>
    <row r="742" spans="1:1" ht="15.75" customHeight="1">
      <c r="A742" s="331"/>
    </row>
    <row r="743" spans="1:1" ht="15.75" customHeight="1">
      <c r="A743" s="331"/>
    </row>
    <row r="744" spans="1:1" ht="15.75" customHeight="1">
      <c r="A744" s="331"/>
    </row>
    <row r="745" spans="1:1" ht="15.75" customHeight="1">
      <c r="A745" s="331"/>
    </row>
    <row r="746" spans="1:1" ht="15.75" customHeight="1">
      <c r="A746" s="331"/>
    </row>
    <row r="747" spans="1:1" ht="15.75" customHeight="1">
      <c r="A747" s="331"/>
    </row>
    <row r="748" spans="1:1" ht="15.75" customHeight="1">
      <c r="A748" s="331"/>
    </row>
    <row r="749" spans="1:1" ht="15.75" customHeight="1">
      <c r="A749" s="331"/>
    </row>
    <row r="750" spans="1:1" ht="15.75" customHeight="1">
      <c r="A750" s="331"/>
    </row>
    <row r="751" spans="1:1" ht="15.75" customHeight="1">
      <c r="A751" s="331"/>
    </row>
    <row r="752" spans="1:1" ht="15.75" customHeight="1">
      <c r="A752" s="331"/>
    </row>
    <row r="753" spans="1:1" ht="15.75" customHeight="1">
      <c r="A753" s="331"/>
    </row>
    <row r="754" spans="1:1" ht="15.75" customHeight="1">
      <c r="A754" s="331"/>
    </row>
    <row r="755" spans="1:1" ht="15.75" customHeight="1">
      <c r="A755" s="331"/>
    </row>
    <row r="756" spans="1:1" ht="15.75" customHeight="1">
      <c r="A756" s="331"/>
    </row>
    <row r="757" spans="1:1" ht="15.75" customHeight="1">
      <c r="A757" s="331"/>
    </row>
    <row r="758" spans="1:1" ht="15.75" customHeight="1">
      <c r="A758" s="331"/>
    </row>
    <row r="759" spans="1:1" ht="15.75" customHeight="1">
      <c r="A759" s="331"/>
    </row>
    <row r="760" spans="1:1" ht="15.75" customHeight="1">
      <c r="A760" s="331"/>
    </row>
    <row r="761" spans="1:1" ht="15.75" customHeight="1">
      <c r="A761" s="331"/>
    </row>
    <row r="762" spans="1:1" ht="15.75" customHeight="1">
      <c r="A762" s="331"/>
    </row>
    <row r="763" spans="1:1" ht="15.75" customHeight="1">
      <c r="A763" s="331"/>
    </row>
    <row r="764" spans="1:1" ht="15.75" customHeight="1">
      <c r="A764" s="331"/>
    </row>
    <row r="765" spans="1:1" ht="15.75" customHeight="1">
      <c r="A765" s="331"/>
    </row>
    <row r="766" spans="1:1" ht="15.75" customHeight="1">
      <c r="A766" s="331"/>
    </row>
    <row r="767" spans="1:1" ht="15.75" customHeight="1">
      <c r="A767" s="331"/>
    </row>
    <row r="768" spans="1:1" ht="15.75" customHeight="1">
      <c r="A768" s="331"/>
    </row>
    <row r="769" spans="1:1" ht="15.75" customHeight="1">
      <c r="A769" s="331"/>
    </row>
    <row r="770" spans="1:1" ht="15.75" customHeight="1">
      <c r="A770" s="331"/>
    </row>
    <row r="771" spans="1:1" ht="15.75" customHeight="1">
      <c r="A771" s="331"/>
    </row>
    <row r="772" spans="1:1" ht="15.75" customHeight="1">
      <c r="A772" s="331"/>
    </row>
    <row r="773" spans="1:1" ht="15.75" customHeight="1">
      <c r="A773" s="331"/>
    </row>
    <row r="774" spans="1:1" ht="15.75" customHeight="1">
      <c r="A774" s="331"/>
    </row>
    <row r="775" spans="1:1" ht="15.75" customHeight="1">
      <c r="A775" s="331"/>
    </row>
    <row r="776" spans="1:1" ht="15.75" customHeight="1">
      <c r="A776" s="331"/>
    </row>
    <row r="777" spans="1:1" ht="15.75" customHeight="1">
      <c r="A777" s="331"/>
    </row>
    <row r="778" spans="1:1" ht="15.75" customHeight="1">
      <c r="A778" s="331"/>
    </row>
    <row r="779" spans="1:1" ht="15.75" customHeight="1">
      <c r="A779" s="331"/>
    </row>
    <row r="780" spans="1:1" ht="15.75" customHeight="1">
      <c r="A780" s="331"/>
    </row>
    <row r="781" spans="1:1" ht="15.75" customHeight="1">
      <c r="A781" s="331"/>
    </row>
    <row r="782" spans="1:1" ht="15.75" customHeight="1">
      <c r="A782" s="331"/>
    </row>
    <row r="783" spans="1:1" ht="15.75" customHeight="1">
      <c r="A783" s="331"/>
    </row>
    <row r="784" spans="1:1" ht="15.75" customHeight="1">
      <c r="A784" s="331"/>
    </row>
    <row r="785" spans="1:1" ht="15.75" customHeight="1">
      <c r="A785" s="331"/>
    </row>
    <row r="786" spans="1:1" ht="15.75" customHeight="1">
      <c r="A786" s="331"/>
    </row>
    <row r="787" spans="1:1" ht="15.75" customHeight="1">
      <c r="A787" s="331"/>
    </row>
    <row r="788" spans="1:1" ht="15.75" customHeight="1">
      <c r="A788" s="331"/>
    </row>
    <row r="789" spans="1:1" ht="15.75" customHeight="1">
      <c r="A789" s="331"/>
    </row>
    <row r="790" spans="1:1" ht="15.75" customHeight="1">
      <c r="A790" s="331"/>
    </row>
    <row r="791" spans="1:1" ht="15.75" customHeight="1">
      <c r="A791" s="331"/>
    </row>
    <row r="792" spans="1:1" ht="15.75" customHeight="1">
      <c r="A792" s="331"/>
    </row>
    <row r="793" spans="1:1" ht="15.75" customHeight="1">
      <c r="A793" s="331"/>
    </row>
    <row r="794" spans="1:1" ht="15.75" customHeight="1">
      <c r="A794" s="331"/>
    </row>
    <row r="795" spans="1:1" ht="15.75" customHeight="1">
      <c r="A795" s="331"/>
    </row>
    <row r="796" spans="1:1" ht="15.75" customHeight="1">
      <c r="A796" s="331"/>
    </row>
    <row r="797" spans="1:1" ht="15.75" customHeight="1">
      <c r="A797" s="331"/>
    </row>
    <row r="798" spans="1:1" ht="15.75" customHeight="1">
      <c r="A798" s="331"/>
    </row>
    <row r="799" spans="1:1" ht="15.75" customHeight="1">
      <c r="A799" s="331"/>
    </row>
    <row r="800" spans="1:1" ht="15.75" customHeight="1">
      <c r="A800" s="331"/>
    </row>
    <row r="801" spans="1:1" ht="15.75" customHeight="1">
      <c r="A801" s="331"/>
    </row>
    <row r="802" spans="1:1" ht="15.75" customHeight="1">
      <c r="A802" s="331"/>
    </row>
    <row r="803" spans="1:1" ht="15.75" customHeight="1">
      <c r="A803" s="331"/>
    </row>
    <row r="804" spans="1:1" ht="15.75" customHeight="1">
      <c r="A804" s="331"/>
    </row>
    <row r="805" spans="1:1" ht="15.75" customHeight="1">
      <c r="A805" s="331"/>
    </row>
    <row r="806" spans="1:1" ht="15.75" customHeight="1">
      <c r="A806" s="331"/>
    </row>
    <row r="807" spans="1:1" ht="15.75" customHeight="1">
      <c r="A807" s="331"/>
    </row>
    <row r="808" spans="1:1" ht="15.75" customHeight="1">
      <c r="A808" s="331"/>
    </row>
    <row r="809" spans="1:1" ht="15.75" customHeight="1">
      <c r="A809" s="331"/>
    </row>
    <row r="810" spans="1:1" ht="15.75" customHeight="1">
      <c r="A810" s="331"/>
    </row>
    <row r="811" spans="1:1" ht="15.75" customHeight="1">
      <c r="A811" s="331"/>
    </row>
    <row r="812" spans="1:1" ht="15.75" customHeight="1">
      <c r="A812" s="331"/>
    </row>
    <row r="813" spans="1:1" ht="15.75" customHeight="1">
      <c r="A813" s="331"/>
    </row>
    <row r="814" spans="1:1" ht="15.75" customHeight="1">
      <c r="A814" s="331"/>
    </row>
    <row r="815" spans="1:1" ht="15.75" customHeight="1">
      <c r="A815" s="331"/>
    </row>
    <row r="816" spans="1:1" ht="15.75" customHeight="1">
      <c r="A816" s="331"/>
    </row>
    <row r="817" spans="1:1" ht="15.75" customHeight="1">
      <c r="A817" s="331"/>
    </row>
    <row r="818" spans="1:1" ht="15.75" customHeight="1">
      <c r="A818" s="331"/>
    </row>
    <row r="819" spans="1:1" ht="15.75" customHeight="1">
      <c r="A819" s="331"/>
    </row>
    <row r="820" spans="1:1" ht="15.75" customHeight="1">
      <c r="A820" s="331"/>
    </row>
    <row r="821" spans="1:1" ht="15.75" customHeight="1">
      <c r="A821" s="331"/>
    </row>
    <row r="822" spans="1:1" ht="15.75" customHeight="1">
      <c r="A822" s="331"/>
    </row>
    <row r="823" spans="1:1" ht="15.75" customHeight="1">
      <c r="A823" s="331"/>
    </row>
    <row r="824" spans="1:1" ht="15.75" customHeight="1">
      <c r="A824" s="331"/>
    </row>
    <row r="825" spans="1:1" ht="15.75" customHeight="1">
      <c r="A825" s="331"/>
    </row>
    <row r="826" spans="1:1" ht="15.75" customHeight="1">
      <c r="A826" s="331"/>
    </row>
    <row r="827" spans="1:1" ht="15.75" customHeight="1">
      <c r="A827" s="331"/>
    </row>
    <row r="828" spans="1:1" ht="15.75" customHeight="1">
      <c r="A828" s="331"/>
    </row>
    <row r="829" spans="1:1" ht="15.75" customHeight="1">
      <c r="A829" s="331"/>
    </row>
    <row r="830" spans="1:1" ht="15.75" customHeight="1">
      <c r="A830" s="331"/>
    </row>
    <row r="831" spans="1:1" ht="15.75" customHeight="1">
      <c r="A831" s="331"/>
    </row>
    <row r="832" spans="1:1" ht="15.75" customHeight="1">
      <c r="A832" s="331"/>
    </row>
    <row r="833" spans="1:1" ht="15.75" customHeight="1">
      <c r="A833" s="331"/>
    </row>
    <row r="834" spans="1:1" ht="15.75" customHeight="1">
      <c r="A834" s="331"/>
    </row>
    <row r="835" spans="1:1" ht="15.75" customHeight="1">
      <c r="A835" s="331"/>
    </row>
    <row r="836" spans="1:1" ht="15.75" customHeight="1">
      <c r="A836" s="331"/>
    </row>
    <row r="837" spans="1:1" ht="15.75" customHeight="1">
      <c r="A837" s="331"/>
    </row>
    <row r="838" spans="1:1" ht="15.75" customHeight="1">
      <c r="A838" s="331"/>
    </row>
    <row r="839" spans="1:1" ht="15.75" customHeight="1">
      <c r="A839" s="331"/>
    </row>
    <row r="840" spans="1:1" ht="15.75" customHeight="1">
      <c r="A840" s="331"/>
    </row>
    <row r="841" spans="1:1" ht="15.75" customHeight="1">
      <c r="A841" s="331"/>
    </row>
    <row r="842" spans="1:1" ht="15.75" customHeight="1">
      <c r="A842" s="331"/>
    </row>
    <row r="843" spans="1:1" ht="15.75" customHeight="1">
      <c r="A843" s="331"/>
    </row>
    <row r="844" spans="1:1" ht="15.75" customHeight="1">
      <c r="A844" s="331"/>
    </row>
    <row r="845" spans="1:1" ht="15.75" customHeight="1">
      <c r="A845" s="331"/>
    </row>
    <row r="846" spans="1:1" ht="15.75" customHeight="1">
      <c r="A846" s="331"/>
    </row>
    <row r="847" spans="1:1" ht="15.75" customHeight="1">
      <c r="A847" s="331"/>
    </row>
    <row r="848" spans="1:1" ht="15.75" customHeight="1">
      <c r="A848" s="331"/>
    </row>
    <row r="849" spans="1:1" ht="15.75" customHeight="1">
      <c r="A849" s="331"/>
    </row>
    <row r="850" spans="1:1" ht="15.75" customHeight="1">
      <c r="A850" s="331"/>
    </row>
    <row r="851" spans="1:1" ht="15.75" customHeight="1">
      <c r="A851" s="331"/>
    </row>
    <row r="852" spans="1:1" ht="15.75" customHeight="1">
      <c r="A852" s="331"/>
    </row>
    <row r="853" spans="1:1" ht="15.75" customHeight="1">
      <c r="A853" s="331"/>
    </row>
    <row r="854" spans="1:1" ht="15.75" customHeight="1">
      <c r="A854" s="331"/>
    </row>
    <row r="855" spans="1:1" ht="15.75" customHeight="1">
      <c r="A855" s="331"/>
    </row>
    <row r="856" spans="1:1" ht="15.75" customHeight="1">
      <c r="A856" s="331"/>
    </row>
    <row r="857" spans="1:1" ht="15.75" customHeight="1">
      <c r="A857" s="331"/>
    </row>
    <row r="858" spans="1:1" ht="15.75" customHeight="1">
      <c r="A858" s="331"/>
    </row>
    <row r="859" spans="1:1" ht="15.75" customHeight="1">
      <c r="A859" s="331"/>
    </row>
    <row r="860" spans="1:1" ht="15.75" customHeight="1">
      <c r="A860" s="331"/>
    </row>
    <row r="861" spans="1:1" ht="15.75" customHeight="1">
      <c r="A861" s="331"/>
    </row>
    <row r="862" spans="1:1" ht="15.75" customHeight="1">
      <c r="A862" s="331"/>
    </row>
    <row r="863" spans="1:1" ht="15.75" customHeight="1">
      <c r="A863" s="331"/>
    </row>
    <row r="864" spans="1:1" ht="15.75" customHeight="1">
      <c r="A864" s="331"/>
    </row>
    <row r="865" spans="1:1" ht="15.75" customHeight="1">
      <c r="A865" s="331"/>
    </row>
    <row r="866" spans="1:1" ht="15.75" customHeight="1">
      <c r="A866" s="331"/>
    </row>
    <row r="867" spans="1:1" ht="15.75" customHeight="1">
      <c r="A867" s="331"/>
    </row>
    <row r="868" spans="1:1" ht="15.75" customHeight="1">
      <c r="A868" s="331"/>
    </row>
    <row r="869" spans="1:1" ht="15.75" customHeight="1">
      <c r="A869" s="331"/>
    </row>
    <row r="870" spans="1:1" ht="15.75" customHeight="1">
      <c r="A870" s="331"/>
    </row>
    <row r="871" spans="1:1" ht="15.75" customHeight="1">
      <c r="A871" s="331"/>
    </row>
    <row r="872" spans="1:1" ht="15.75" customHeight="1">
      <c r="A872" s="331"/>
    </row>
    <row r="873" spans="1:1" ht="15.75" customHeight="1">
      <c r="A873" s="331"/>
    </row>
    <row r="874" spans="1:1" ht="15.75" customHeight="1">
      <c r="A874" s="331"/>
    </row>
    <row r="875" spans="1:1" ht="15.75" customHeight="1">
      <c r="A875" s="331"/>
    </row>
    <row r="876" spans="1:1" ht="15.75" customHeight="1">
      <c r="A876" s="331"/>
    </row>
    <row r="877" spans="1:1" ht="15.75" customHeight="1">
      <c r="A877" s="331"/>
    </row>
    <row r="878" spans="1:1" ht="15.75" customHeight="1">
      <c r="A878" s="331"/>
    </row>
    <row r="879" spans="1:1" ht="15.75" customHeight="1">
      <c r="A879" s="331"/>
    </row>
    <row r="880" spans="1:1" ht="15.75" customHeight="1">
      <c r="A880" s="331"/>
    </row>
    <row r="881" spans="1:1" ht="15.75" customHeight="1">
      <c r="A881" s="331"/>
    </row>
    <row r="882" spans="1:1" ht="15.75" customHeight="1">
      <c r="A882" s="331"/>
    </row>
    <row r="883" spans="1:1" ht="15.75" customHeight="1">
      <c r="A883" s="331"/>
    </row>
    <row r="884" spans="1:1" ht="15.75" customHeight="1">
      <c r="A884" s="331"/>
    </row>
    <row r="885" spans="1:1" ht="15.75" customHeight="1">
      <c r="A885" s="331"/>
    </row>
    <row r="886" spans="1:1" ht="15.75" customHeight="1">
      <c r="A886" s="331"/>
    </row>
    <row r="887" spans="1:1" ht="15.75" customHeight="1">
      <c r="A887" s="331"/>
    </row>
    <row r="888" spans="1:1" ht="15.75" customHeight="1">
      <c r="A888" s="331"/>
    </row>
    <row r="889" spans="1:1" ht="15.75" customHeight="1">
      <c r="A889" s="331"/>
    </row>
    <row r="890" spans="1:1" ht="15.75" customHeight="1">
      <c r="A890" s="331"/>
    </row>
    <row r="891" spans="1:1" ht="15.75" customHeight="1">
      <c r="A891" s="331"/>
    </row>
    <row r="892" spans="1:1" ht="15.75" customHeight="1">
      <c r="A892" s="331"/>
    </row>
    <row r="893" spans="1:1" ht="15.75" customHeight="1">
      <c r="A893" s="331"/>
    </row>
    <row r="894" spans="1:1" ht="15.75" customHeight="1">
      <c r="A894" s="331"/>
    </row>
    <row r="895" spans="1:1" ht="15.75" customHeight="1">
      <c r="A895" s="331"/>
    </row>
    <row r="896" spans="1:1" ht="15.75" customHeight="1">
      <c r="A896" s="331"/>
    </row>
    <row r="897" spans="1:1" ht="15.75" customHeight="1">
      <c r="A897" s="331"/>
    </row>
    <row r="898" spans="1:1" ht="15.75" customHeight="1">
      <c r="A898" s="331"/>
    </row>
    <row r="899" spans="1:1" ht="15.75" customHeight="1">
      <c r="A899" s="331"/>
    </row>
    <row r="900" spans="1:1" ht="15.75" customHeight="1">
      <c r="A900" s="331"/>
    </row>
    <row r="901" spans="1:1" ht="15.75" customHeight="1">
      <c r="A901" s="331"/>
    </row>
    <row r="902" spans="1:1" ht="15.75" customHeight="1">
      <c r="A902" s="331"/>
    </row>
    <row r="903" spans="1:1" ht="15.75" customHeight="1">
      <c r="A903" s="331"/>
    </row>
    <row r="904" spans="1:1" ht="15.75" customHeight="1">
      <c r="A904" s="331"/>
    </row>
    <row r="905" spans="1:1" ht="15.75" customHeight="1">
      <c r="A905" s="331"/>
    </row>
    <row r="906" spans="1:1" ht="15.75" customHeight="1">
      <c r="A906" s="331"/>
    </row>
    <row r="907" spans="1:1" ht="15.75" customHeight="1">
      <c r="A907" s="331"/>
    </row>
    <row r="908" spans="1:1" ht="15.75" customHeight="1">
      <c r="A908" s="331"/>
    </row>
    <row r="909" spans="1:1" ht="15.75" customHeight="1">
      <c r="A909" s="331"/>
    </row>
    <row r="910" spans="1:1" ht="15.75" customHeight="1">
      <c r="A910" s="331"/>
    </row>
    <row r="911" spans="1:1" ht="15.75" customHeight="1">
      <c r="A911" s="331"/>
    </row>
    <row r="912" spans="1:1" ht="15.75" customHeight="1">
      <c r="A912" s="331"/>
    </row>
    <row r="913" spans="1:1" ht="15.75" customHeight="1">
      <c r="A913" s="331"/>
    </row>
    <row r="914" spans="1:1" ht="15.75" customHeight="1">
      <c r="A914" s="331"/>
    </row>
    <row r="915" spans="1:1" ht="15.75" customHeight="1">
      <c r="A915" s="331"/>
    </row>
    <row r="916" spans="1:1" ht="15.75" customHeight="1">
      <c r="A916" s="331"/>
    </row>
    <row r="917" spans="1:1" ht="15.75" customHeight="1">
      <c r="A917" s="331"/>
    </row>
    <row r="918" spans="1:1" ht="15.75" customHeight="1">
      <c r="A918" s="331"/>
    </row>
    <row r="919" spans="1:1" ht="15.75" customHeight="1">
      <c r="A919" s="331"/>
    </row>
    <row r="920" spans="1:1" ht="15.75" customHeight="1">
      <c r="A920" s="331"/>
    </row>
    <row r="921" spans="1:1" ht="15.75" customHeight="1">
      <c r="A921" s="331"/>
    </row>
    <row r="922" spans="1:1" ht="15.75" customHeight="1">
      <c r="A922" s="331"/>
    </row>
    <row r="923" spans="1:1" ht="15.75" customHeight="1">
      <c r="A923" s="331"/>
    </row>
    <row r="924" spans="1:1" ht="15.75" customHeight="1">
      <c r="A924" s="331"/>
    </row>
    <row r="925" spans="1:1" ht="15.75" customHeight="1">
      <c r="A925" s="331"/>
    </row>
    <row r="926" spans="1:1" ht="15.75" customHeight="1">
      <c r="A926" s="331"/>
    </row>
    <row r="927" spans="1:1" ht="15.75" customHeight="1">
      <c r="A927" s="331"/>
    </row>
    <row r="928" spans="1:1" ht="15.75" customHeight="1">
      <c r="A928" s="331"/>
    </row>
    <row r="929" spans="1:1" ht="15.75" customHeight="1">
      <c r="A929" s="331"/>
    </row>
    <row r="930" spans="1:1" ht="15.75" customHeight="1">
      <c r="A930" s="331"/>
    </row>
    <row r="931" spans="1:1" ht="15.75" customHeight="1">
      <c r="A931" s="331"/>
    </row>
    <row r="932" spans="1:1" ht="15.75" customHeight="1">
      <c r="A932" s="331"/>
    </row>
    <row r="933" spans="1:1" ht="15.75" customHeight="1">
      <c r="A933" s="331"/>
    </row>
    <row r="934" spans="1:1" ht="15.75" customHeight="1">
      <c r="A934" s="331"/>
    </row>
    <row r="935" spans="1:1" ht="15.75" customHeight="1">
      <c r="A935" s="331"/>
    </row>
    <row r="936" spans="1:1" ht="15.75" customHeight="1">
      <c r="A936" s="331"/>
    </row>
    <row r="937" spans="1:1" ht="15.75" customHeight="1">
      <c r="A937" s="331"/>
    </row>
    <row r="938" spans="1:1" ht="15.75" customHeight="1">
      <c r="A938" s="331"/>
    </row>
    <row r="939" spans="1:1" ht="15.75" customHeight="1">
      <c r="A939" s="331"/>
    </row>
    <row r="940" spans="1:1" ht="15.75" customHeight="1">
      <c r="A940" s="331"/>
    </row>
    <row r="941" spans="1:1" ht="15.75" customHeight="1">
      <c r="A941" s="331"/>
    </row>
    <row r="942" spans="1:1" ht="15.75" customHeight="1">
      <c r="A942" s="331"/>
    </row>
    <row r="943" spans="1:1" ht="15.75" customHeight="1">
      <c r="A943" s="331"/>
    </row>
    <row r="944" spans="1:1" ht="15.75" customHeight="1">
      <c r="A944" s="331"/>
    </row>
    <row r="945" spans="1:1" ht="15.75" customHeight="1">
      <c r="A945" s="331"/>
    </row>
    <row r="946" spans="1:1" ht="15.75" customHeight="1">
      <c r="A946" s="331"/>
    </row>
    <row r="947" spans="1:1" ht="15.75" customHeight="1">
      <c r="A947" s="331"/>
    </row>
    <row r="948" spans="1:1" ht="15.75" customHeight="1">
      <c r="A948" s="331"/>
    </row>
    <row r="949" spans="1:1" ht="15.75" customHeight="1">
      <c r="A949" s="331"/>
    </row>
    <row r="950" spans="1:1" ht="15.75" customHeight="1">
      <c r="A950" s="331"/>
    </row>
    <row r="951" spans="1:1" ht="15.75" customHeight="1">
      <c r="A951" s="331"/>
    </row>
    <row r="952" spans="1:1" ht="15.75" customHeight="1">
      <c r="A952" s="331"/>
    </row>
    <row r="953" spans="1:1" ht="15.75" customHeight="1">
      <c r="A953" s="331"/>
    </row>
    <row r="954" spans="1:1" ht="15.75" customHeight="1">
      <c r="A954" s="331"/>
    </row>
    <row r="955" spans="1:1" ht="15.75" customHeight="1">
      <c r="A955" s="331"/>
    </row>
    <row r="956" spans="1:1" ht="15.75" customHeight="1">
      <c r="A956" s="331"/>
    </row>
    <row r="957" spans="1:1" ht="15.75" customHeight="1">
      <c r="A957" s="331"/>
    </row>
    <row r="958" spans="1:1" ht="15.75" customHeight="1">
      <c r="A958" s="331"/>
    </row>
    <row r="959" spans="1:1" ht="15.75" customHeight="1">
      <c r="A959" s="331"/>
    </row>
    <row r="960" spans="1:1" ht="15.75" customHeight="1">
      <c r="A960" s="331"/>
    </row>
    <row r="961" spans="1:1" ht="15.75" customHeight="1">
      <c r="A961" s="331"/>
    </row>
    <row r="962" spans="1:1" ht="15.75" customHeight="1">
      <c r="A962" s="331"/>
    </row>
    <row r="963" spans="1:1" ht="15.75" customHeight="1">
      <c r="A963" s="331"/>
    </row>
    <row r="964" spans="1:1" ht="15.75" customHeight="1">
      <c r="A964" s="331"/>
    </row>
    <row r="965" spans="1:1" ht="15.75" customHeight="1">
      <c r="A965" s="331"/>
    </row>
    <row r="966" spans="1:1" ht="15.75" customHeight="1">
      <c r="A966" s="331"/>
    </row>
    <row r="967" spans="1:1" ht="15.75" customHeight="1">
      <c r="A967" s="331"/>
    </row>
    <row r="968" spans="1:1" ht="15.75" customHeight="1">
      <c r="A968" s="331"/>
    </row>
    <row r="969" spans="1:1" ht="15.75" customHeight="1">
      <c r="A969" s="331"/>
    </row>
    <row r="970" spans="1:1" ht="15.75" customHeight="1">
      <c r="A970" s="331"/>
    </row>
    <row r="971" spans="1:1" ht="15.75" customHeight="1">
      <c r="A971" s="331"/>
    </row>
    <row r="972" spans="1:1" ht="15.75" customHeight="1">
      <c r="A972" s="331"/>
    </row>
    <row r="973" spans="1:1" ht="15.75" customHeight="1">
      <c r="A973" s="331"/>
    </row>
    <row r="974" spans="1:1" ht="15.75" customHeight="1">
      <c r="A974" s="331"/>
    </row>
    <row r="975" spans="1:1" ht="15.75" customHeight="1">
      <c r="A975" s="331"/>
    </row>
    <row r="976" spans="1:1" ht="15.75" customHeight="1">
      <c r="A976" s="331"/>
    </row>
    <row r="977" spans="1:1" ht="15.75" customHeight="1">
      <c r="A977" s="331"/>
    </row>
    <row r="978" spans="1:1" ht="15.75" customHeight="1">
      <c r="A978" s="331"/>
    </row>
    <row r="979" spans="1:1" ht="15.75" customHeight="1">
      <c r="A979" s="331"/>
    </row>
    <row r="980" spans="1:1" ht="15.75" customHeight="1">
      <c r="A980" s="331"/>
    </row>
    <row r="981" spans="1:1" ht="15.75" customHeight="1">
      <c r="A981" s="331"/>
    </row>
    <row r="982" spans="1:1" ht="15.75" customHeight="1">
      <c r="A982" s="331"/>
    </row>
    <row r="983" spans="1:1" ht="15.75" customHeight="1">
      <c r="A983" s="331"/>
    </row>
    <row r="984" spans="1:1" ht="15.75" customHeight="1">
      <c r="A984" s="331"/>
    </row>
    <row r="985" spans="1:1" ht="15.75" customHeight="1">
      <c r="A985" s="331"/>
    </row>
    <row r="986" spans="1:1" ht="15.75" customHeight="1">
      <c r="A986" s="331"/>
    </row>
    <row r="987" spans="1:1" ht="15.75" customHeight="1">
      <c r="A987" s="331"/>
    </row>
    <row r="988" spans="1:1" ht="15.75" customHeight="1">
      <c r="A988" s="331"/>
    </row>
    <row r="989" spans="1:1" ht="15.75" customHeight="1">
      <c r="A989" s="331"/>
    </row>
    <row r="990" spans="1:1" ht="15.75" customHeight="1">
      <c r="A990" s="331"/>
    </row>
    <row r="991" spans="1:1" ht="15.75" customHeight="1">
      <c r="A991" s="331"/>
    </row>
    <row r="992" spans="1:1" ht="15.75" customHeight="1">
      <c r="A992" s="331"/>
    </row>
    <row r="993" spans="1:1" ht="15.75" customHeight="1">
      <c r="A993" s="331"/>
    </row>
    <row r="994" spans="1:1" ht="15.75" customHeight="1">
      <c r="A994" s="331"/>
    </row>
    <row r="995" spans="1:1" ht="15.75" customHeight="1">
      <c r="A995" s="331"/>
    </row>
    <row r="996" spans="1:1" ht="15.75" customHeight="1">
      <c r="A996" s="331"/>
    </row>
    <row r="997" spans="1:1" ht="15.75" customHeight="1">
      <c r="A997" s="331"/>
    </row>
    <row r="998" spans="1:1" ht="15.75" customHeight="1">
      <c r="A998" s="331"/>
    </row>
    <row r="999" spans="1:1" ht="15.75" customHeight="1">
      <c r="A999" s="331"/>
    </row>
    <row r="1000" spans="1:1" ht="15.75" customHeight="1">
      <c r="A1000" s="331"/>
    </row>
    <row r="1001" spans="1:1" ht="15.75" customHeight="1">
      <c r="A1001" s="331"/>
    </row>
    <row r="1002" spans="1:1" ht="15.75" customHeight="1">
      <c r="A1002" s="331"/>
    </row>
    <row r="1003" spans="1:1" ht="15.75" customHeight="1">
      <c r="A1003" s="331"/>
    </row>
    <row r="1004" spans="1:1" ht="15.75" customHeight="1">
      <c r="A1004" s="331"/>
    </row>
    <row r="1005" spans="1:1" ht="15.75" customHeight="1">
      <c r="A1005" s="331"/>
    </row>
    <row r="1006" spans="1:1" ht="15.75" customHeight="1">
      <c r="A1006" s="331"/>
    </row>
    <row r="1007" spans="1:1" ht="15.75" customHeight="1">
      <c r="A1007" s="331"/>
    </row>
    <row r="1008" spans="1:1" ht="15.75" customHeight="1">
      <c r="A1008" s="331"/>
    </row>
  </sheetData>
  <pageMargins left="0.511811024" right="0.511811024" top="0.78740157499999996" bottom="0.78740157499999996" header="0" footer="0"/>
  <pageSetup paperSize="9" orientation="portrait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outlinePr summaryBelow="0" summaryRight="0"/>
  </sheetPr>
  <dimension ref="A1:AA1012"/>
  <sheetViews>
    <sheetView topLeftCell="A22" workbookViewId="0">
      <selection activeCell="A29" sqref="A29:XFD29"/>
    </sheetView>
  </sheetViews>
  <sheetFormatPr defaultColWidth="14.453125" defaultRowHeight="15" customHeight="1"/>
  <cols>
    <col min="1" max="1" width="3.7265625" customWidth="1"/>
    <col min="2" max="2" width="72" customWidth="1"/>
    <col min="3" max="3" width="44.453125" customWidth="1"/>
    <col min="4" max="4" width="38.453125" customWidth="1"/>
    <col min="5" max="5" width="12.7265625" customWidth="1"/>
    <col min="6" max="6" width="104.453125" customWidth="1"/>
  </cols>
  <sheetData>
    <row r="1" spans="1:27" ht="15.5">
      <c r="A1" s="1" t="s">
        <v>0</v>
      </c>
      <c r="B1" s="1" t="s">
        <v>1</v>
      </c>
      <c r="C1" s="2" t="s">
        <v>2</v>
      </c>
      <c r="D1" s="1" t="s">
        <v>27</v>
      </c>
      <c r="E1" s="149"/>
      <c r="F1" s="1" t="s">
        <v>41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5">
      <c r="A2" s="4">
        <v>1</v>
      </c>
      <c r="B2" s="9" t="s">
        <v>607</v>
      </c>
      <c r="C2" s="332" t="s">
        <v>608</v>
      </c>
      <c r="D2" s="7"/>
      <c r="E2" s="7" t="s">
        <v>30</v>
      </c>
      <c r="F2" s="22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5">
      <c r="A3" s="8">
        <v>2</v>
      </c>
      <c r="B3" s="9" t="s">
        <v>609</v>
      </c>
      <c r="C3" s="9">
        <v>83998346861</v>
      </c>
      <c r="D3" s="333"/>
      <c r="E3" s="7" t="s">
        <v>30</v>
      </c>
      <c r="F3" s="22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5">
      <c r="A4" s="55">
        <v>4</v>
      </c>
      <c r="B4" s="23" t="s">
        <v>610</v>
      </c>
      <c r="C4" s="23" t="s">
        <v>611</v>
      </c>
      <c r="D4" s="69"/>
      <c r="E4" s="69" t="s">
        <v>78</v>
      </c>
      <c r="F4" s="23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5">
      <c r="A5" s="55">
        <v>5</v>
      </c>
      <c r="B5" s="23" t="s">
        <v>612</v>
      </c>
      <c r="C5" s="23" t="s">
        <v>613</v>
      </c>
      <c r="D5" s="334"/>
      <c r="E5" s="69" t="s">
        <v>78</v>
      </c>
      <c r="F5" s="23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5">
      <c r="A6" s="55">
        <v>6</v>
      </c>
      <c r="B6" s="335" t="s">
        <v>614</v>
      </c>
      <c r="C6" s="335" t="s">
        <v>615</v>
      </c>
      <c r="D6" s="68"/>
      <c r="E6" s="165" t="s">
        <v>78</v>
      </c>
      <c r="F6" s="23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5">
      <c r="A7" s="55">
        <v>7</v>
      </c>
      <c r="B7" s="23" t="s">
        <v>616</v>
      </c>
      <c r="C7" s="23" t="s">
        <v>617</v>
      </c>
      <c r="D7" s="336"/>
      <c r="E7" s="243" t="s">
        <v>78</v>
      </c>
      <c r="F7" s="23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5">
      <c r="A8" s="55">
        <v>8</v>
      </c>
      <c r="B8" s="23" t="s">
        <v>618</v>
      </c>
      <c r="C8" s="23" t="s">
        <v>619</v>
      </c>
      <c r="D8" s="68"/>
      <c r="E8" s="165" t="s">
        <v>78</v>
      </c>
      <c r="F8" s="23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5">
      <c r="A9" s="55">
        <v>9</v>
      </c>
      <c r="B9" s="337" t="s">
        <v>620</v>
      </c>
      <c r="C9" s="337" t="s">
        <v>621</v>
      </c>
      <c r="D9" s="57"/>
      <c r="E9" s="56" t="s">
        <v>78</v>
      </c>
      <c r="F9" s="23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5">
      <c r="A10" s="38">
        <v>10</v>
      </c>
      <c r="B10" s="251" t="s">
        <v>622</v>
      </c>
      <c r="C10" s="251" t="s">
        <v>623</v>
      </c>
      <c r="D10" s="168"/>
      <c r="E10" s="42" t="s">
        <v>17</v>
      </c>
      <c r="F10" s="2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5">
      <c r="A11" s="38">
        <v>11</v>
      </c>
      <c r="B11" s="110" t="s">
        <v>624</v>
      </c>
      <c r="C11" s="90" t="s">
        <v>625</v>
      </c>
      <c r="D11" s="42"/>
      <c r="E11" s="42" t="s">
        <v>17</v>
      </c>
      <c r="F11" s="2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5">
      <c r="A12" s="38">
        <v>13</v>
      </c>
      <c r="B12" s="110" t="s">
        <v>626</v>
      </c>
      <c r="C12" s="110" t="s">
        <v>627</v>
      </c>
      <c r="D12" s="42"/>
      <c r="E12" s="42" t="s">
        <v>17</v>
      </c>
      <c r="F12" s="2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5">
      <c r="A13" s="38">
        <v>14</v>
      </c>
      <c r="B13" s="110" t="s">
        <v>628</v>
      </c>
      <c r="C13" s="91" t="s">
        <v>629</v>
      </c>
      <c r="D13" s="42"/>
      <c r="E13" s="42" t="s">
        <v>17</v>
      </c>
      <c r="F13" s="2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5">
      <c r="A14" s="38">
        <v>15</v>
      </c>
      <c r="B14" s="251" t="s">
        <v>630</v>
      </c>
      <c r="C14" s="42" t="s">
        <v>631</v>
      </c>
      <c r="D14" s="42"/>
      <c r="E14" s="42" t="s">
        <v>7</v>
      </c>
      <c r="F14" s="2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5">
      <c r="A15" s="38">
        <v>16</v>
      </c>
      <c r="B15" s="42" t="s">
        <v>632</v>
      </c>
      <c r="C15" s="42" t="s">
        <v>633</v>
      </c>
      <c r="D15" s="42"/>
      <c r="E15" s="42" t="s">
        <v>17</v>
      </c>
      <c r="F15" s="2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5">
      <c r="A16" s="38">
        <v>17</v>
      </c>
      <c r="B16" s="36" t="s">
        <v>634</v>
      </c>
      <c r="C16" s="37" t="s">
        <v>635</v>
      </c>
      <c r="D16" s="109"/>
      <c r="E16" s="110" t="s">
        <v>17</v>
      </c>
      <c r="F16" s="9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5">
      <c r="A17" s="38">
        <v>18</v>
      </c>
      <c r="B17" s="110" t="s">
        <v>636</v>
      </c>
      <c r="C17" s="110" t="s">
        <v>637</v>
      </c>
      <c r="D17" s="295"/>
      <c r="E17" s="42" t="s">
        <v>17</v>
      </c>
      <c r="F17" s="2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5">
      <c r="A18" s="38">
        <v>19</v>
      </c>
      <c r="B18" s="37" t="s">
        <v>638</v>
      </c>
      <c r="C18" s="37" t="s">
        <v>639</v>
      </c>
      <c r="D18" s="254"/>
      <c r="E18" s="25" t="s">
        <v>17</v>
      </c>
      <c r="F18" s="9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5">
      <c r="A19" s="38">
        <v>20</v>
      </c>
      <c r="B19" s="110" t="s">
        <v>640</v>
      </c>
      <c r="C19" s="110" t="s">
        <v>641</v>
      </c>
      <c r="D19" s="251"/>
      <c r="E19" s="42" t="s">
        <v>7</v>
      </c>
      <c r="F19" s="9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5">
      <c r="A20" s="38">
        <v>21</v>
      </c>
      <c r="B20" s="110" t="s">
        <v>642</v>
      </c>
      <c r="C20" s="110" t="s">
        <v>643</v>
      </c>
      <c r="D20" s="25"/>
      <c r="E20" s="25" t="s">
        <v>7</v>
      </c>
      <c r="F20" s="2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5">
      <c r="A21" s="38">
        <v>22</v>
      </c>
      <c r="B21" s="110" t="s">
        <v>644</v>
      </c>
      <c r="C21" s="110" t="s">
        <v>645</v>
      </c>
      <c r="D21" s="168"/>
      <c r="E21" s="42" t="s">
        <v>17</v>
      </c>
      <c r="F21" s="9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5">
      <c r="A22" s="38">
        <v>23</v>
      </c>
      <c r="B22" s="42" t="s">
        <v>646</v>
      </c>
      <c r="C22" s="42" t="s">
        <v>647</v>
      </c>
      <c r="D22" s="34"/>
      <c r="E22" s="42" t="s">
        <v>17</v>
      </c>
      <c r="F22" s="2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5">
      <c r="A23" s="38">
        <v>24</v>
      </c>
      <c r="B23" s="338" t="s">
        <v>648</v>
      </c>
      <c r="C23" s="259" t="s">
        <v>649</v>
      </c>
      <c r="D23" s="110" t="s">
        <v>650</v>
      </c>
      <c r="E23" s="42" t="s">
        <v>17</v>
      </c>
      <c r="F23" s="2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5">
      <c r="A24" s="38">
        <v>25</v>
      </c>
      <c r="B24" s="42" t="s">
        <v>651</v>
      </c>
      <c r="C24" s="110" t="s">
        <v>652</v>
      </c>
      <c r="D24" s="42"/>
      <c r="E24" s="42" t="s">
        <v>17</v>
      </c>
      <c r="F24" s="2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8">
        <v>26</v>
      </c>
      <c r="B25" s="44" t="s">
        <v>653</v>
      </c>
      <c r="C25" s="103" t="s">
        <v>654</v>
      </c>
      <c r="D25" s="42"/>
      <c r="E25" s="42" t="s">
        <v>17</v>
      </c>
      <c r="F25" s="2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8">
        <v>28</v>
      </c>
      <c r="B26" s="44" t="s">
        <v>655</v>
      </c>
      <c r="C26" s="44" t="s">
        <v>656</v>
      </c>
      <c r="D26" s="36"/>
      <c r="E26" s="42" t="s">
        <v>17</v>
      </c>
      <c r="F26" s="2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38">
        <v>29</v>
      </c>
      <c r="B27" s="339" t="s">
        <v>657</v>
      </c>
      <c r="C27" s="340" t="s">
        <v>658</v>
      </c>
      <c r="D27" s="81"/>
      <c r="E27" s="81" t="s">
        <v>17</v>
      </c>
      <c r="F27" s="2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38">
        <v>30</v>
      </c>
      <c r="B28" s="97" t="s">
        <v>659</v>
      </c>
      <c r="C28" s="97" t="s">
        <v>660</v>
      </c>
      <c r="D28" s="107"/>
      <c r="E28" s="81" t="s">
        <v>17</v>
      </c>
      <c r="F28" s="2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>
      <c r="A29" s="38">
        <v>32</v>
      </c>
      <c r="B29" s="341" t="s">
        <v>661</v>
      </c>
      <c r="C29" s="342" t="s">
        <v>662</v>
      </c>
      <c r="D29" s="179"/>
      <c r="E29" s="107" t="s">
        <v>17</v>
      </c>
      <c r="F29" s="2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>
      <c r="A30" s="38">
        <v>33</v>
      </c>
      <c r="B30" s="97" t="s">
        <v>663</v>
      </c>
      <c r="C30" s="97" t="s">
        <v>664</v>
      </c>
      <c r="D30" s="81"/>
      <c r="E30" s="107" t="s">
        <v>17</v>
      </c>
      <c r="F30" s="2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>
      <c r="A31" s="38">
        <v>34</v>
      </c>
      <c r="B31" s="343" t="s">
        <v>665</v>
      </c>
      <c r="C31" s="311" t="s">
        <v>666</v>
      </c>
      <c r="D31" s="172"/>
      <c r="E31" s="81" t="s">
        <v>7</v>
      </c>
      <c r="F31" s="2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>
      <c r="A32" s="38">
        <v>35</v>
      </c>
      <c r="B32" s="45" t="s">
        <v>667</v>
      </c>
      <c r="C32" s="112" t="s">
        <v>668</v>
      </c>
      <c r="D32" s="344"/>
      <c r="E32" s="344" t="s">
        <v>7</v>
      </c>
      <c r="F32" s="2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>
      <c r="A33" s="38">
        <v>36</v>
      </c>
      <c r="B33" s="45" t="s">
        <v>669</v>
      </c>
      <c r="C33" s="45" t="s">
        <v>670</v>
      </c>
      <c r="D33" s="169"/>
      <c r="E33" s="81" t="s">
        <v>17</v>
      </c>
      <c r="F33" s="2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>
      <c r="A34" s="345">
        <v>37</v>
      </c>
      <c r="B34" s="97" t="s">
        <v>671</v>
      </c>
      <c r="C34" s="97" t="s">
        <v>672</v>
      </c>
      <c r="D34" s="175"/>
      <c r="E34" s="27" t="s">
        <v>17</v>
      </c>
      <c r="F34" s="312"/>
      <c r="G34" s="228"/>
      <c r="H34" s="228"/>
      <c r="I34" s="228"/>
      <c r="J34" s="241"/>
      <c r="K34" s="241"/>
      <c r="L34" s="241"/>
      <c r="M34" s="241"/>
      <c r="N34" s="241"/>
      <c r="O34" s="241"/>
      <c r="P34" s="240"/>
      <c r="Q34" s="241"/>
      <c r="R34" s="240"/>
      <c r="S34" s="241"/>
      <c r="T34" s="3"/>
      <c r="U34" s="3"/>
      <c r="V34" s="3"/>
      <c r="W34" s="3"/>
      <c r="X34" s="3"/>
      <c r="Y34" s="3"/>
      <c r="Z34" s="3"/>
      <c r="AA34" s="3"/>
    </row>
    <row r="35" spans="1:27" ht="15.75" customHeight="1">
      <c r="A35" s="346">
        <v>38</v>
      </c>
      <c r="B35" s="320" t="s">
        <v>673</v>
      </c>
      <c r="C35" s="45" t="s">
        <v>674</v>
      </c>
      <c r="D35" s="81"/>
      <c r="E35" s="81" t="s">
        <v>7</v>
      </c>
      <c r="F35" s="16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>
      <c r="A36" s="345">
        <v>39</v>
      </c>
      <c r="B36" s="45" t="s">
        <v>675</v>
      </c>
      <c r="C36" s="112" t="s">
        <v>676</v>
      </c>
      <c r="D36" s="169"/>
      <c r="E36" s="265" t="s">
        <v>17</v>
      </c>
      <c r="F36" s="2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>
      <c r="A37" s="345">
        <v>40</v>
      </c>
      <c r="B37" s="116" t="s">
        <v>677</v>
      </c>
      <c r="C37" s="311" t="s">
        <v>678</v>
      </c>
      <c r="D37" s="169"/>
      <c r="E37" s="81" t="s">
        <v>17</v>
      </c>
      <c r="F37" s="16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>
      <c r="A38" s="346">
        <v>41</v>
      </c>
      <c r="B38" s="97" t="s">
        <v>679</v>
      </c>
      <c r="C38" s="114" t="s">
        <v>680</v>
      </c>
      <c r="D38" s="81"/>
      <c r="E38" s="81" t="s">
        <v>17</v>
      </c>
      <c r="F38" s="16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>
      <c r="A39" s="346">
        <v>42</v>
      </c>
      <c r="B39" s="45" t="s">
        <v>681</v>
      </c>
      <c r="C39" s="45" t="s">
        <v>682</v>
      </c>
      <c r="D39" s="42"/>
      <c r="E39" s="42" t="s">
        <v>7</v>
      </c>
      <c r="F39" s="168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75" customHeight="1">
      <c r="A40" s="346">
        <v>43</v>
      </c>
      <c r="B40" s="116" t="s">
        <v>683</v>
      </c>
      <c r="C40" s="116" t="s">
        <v>684</v>
      </c>
      <c r="D40" s="42"/>
      <c r="E40" s="42" t="s">
        <v>7</v>
      </c>
      <c r="F40" s="168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 spans="1:27" ht="15.75" customHeight="1">
      <c r="A41" s="345">
        <v>44</v>
      </c>
      <c r="B41" s="45" t="s">
        <v>685</v>
      </c>
      <c r="C41" s="97" t="s">
        <v>686</v>
      </c>
      <c r="D41" s="42"/>
      <c r="E41" s="42" t="s">
        <v>7</v>
      </c>
      <c r="F41" s="347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75" customHeight="1">
      <c r="A42" s="345">
        <v>45</v>
      </c>
      <c r="B42" s="343" t="s">
        <v>687</v>
      </c>
      <c r="C42" s="116" t="s">
        <v>688</v>
      </c>
      <c r="D42" s="42"/>
      <c r="E42" s="42" t="s">
        <v>17</v>
      </c>
      <c r="F42" s="168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 spans="1:27" ht="15.75" customHeight="1">
      <c r="A43" s="345">
        <v>46</v>
      </c>
      <c r="B43" s="348" t="s">
        <v>689</v>
      </c>
      <c r="C43" s="348" t="s">
        <v>690</v>
      </c>
      <c r="D43" s="42"/>
      <c r="E43" s="42" t="s">
        <v>7</v>
      </c>
      <c r="F43" s="168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75" customHeight="1">
      <c r="A44" s="345">
        <v>47</v>
      </c>
      <c r="B44" s="120" t="s">
        <v>691</v>
      </c>
      <c r="C44" s="45" t="s">
        <v>692</v>
      </c>
      <c r="D44" s="42"/>
      <c r="E44" s="42" t="s">
        <v>17</v>
      </c>
      <c r="F44" s="168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 spans="1:27" ht="15.75" customHeight="1">
      <c r="A45" s="345">
        <v>48</v>
      </c>
      <c r="B45" s="349" t="s">
        <v>693</v>
      </c>
      <c r="C45" s="349">
        <v>83996419198</v>
      </c>
      <c r="D45" s="168"/>
      <c r="E45" s="42" t="s">
        <v>7</v>
      </c>
      <c r="F45" s="168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75" customHeight="1">
      <c r="A46" s="345">
        <v>49</v>
      </c>
      <c r="B46" s="343" t="s">
        <v>694</v>
      </c>
      <c r="C46" s="311" t="s">
        <v>695</v>
      </c>
      <c r="D46" s="168"/>
      <c r="E46" s="42" t="s">
        <v>17</v>
      </c>
      <c r="F46" s="168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 spans="1:27" ht="15.75" customHeight="1">
      <c r="A47" s="345">
        <v>50</v>
      </c>
      <c r="B47" s="349" t="s">
        <v>696</v>
      </c>
      <c r="C47" s="350">
        <v>83999992972</v>
      </c>
      <c r="D47" s="42"/>
      <c r="E47" s="42" t="s">
        <v>17</v>
      </c>
      <c r="F47" s="168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75" customHeight="1">
      <c r="A48" s="345">
        <v>51</v>
      </c>
      <c r="B48" s="351" t="s">
        <v>697</v>
      </c>
      <c r="C48" s="349" t="s">
        <v>698</v>
      </c>
      <c r="D48" s="42"/>
      <c r="E48" s="42" t="s">
        <v>17</v>
      </c>
      <c r="F48" s="168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 spans="1:27" ht="15.75" customHeight="1">
      <c r="A49" s="352">
        <v>52</v>
      </c>
      <c r="B49" s="351" t="s">
        <v>699</v>
      </c>
      <c r="C49" s="349" t="s">
        <v>674</v>
      </c>
      <c r="D49" s="42"/>
      <c r="E49" s="42" t="s">
        <v>17</v>
      </c>
      <c r="F49" s="168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</row>
    <row r="50" spans="1:27" ht="14.25" customHeight="1">
      <c r="A50" s="346">
        <v>53</v>
      </c>
      <c r="B50" s="351" t="s">
        <v>700</v>
      </c>
      <c r="C50" s="349" t="s">
        <v>701</v>
      </c>
      <c r="D50" s="42"/>
      <c r="E50" s="42" t="s">
        <v>17</v>
      </c>
      <c r="F50" s="168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</row>
    <row r="51" spans="1:27" ht="15.75" customHeight="1">
      <c r="A51" s="353">
        <v>54</v>
      </c>
      <c r="B51" s="354" t="s">
        <v>702</v>
      </c>
      <c r="C51" s="355" t="s">
        <v>703</v>
      </c>
      <c r="D51" s="356"/>
      <c r="E51" s="357" t="s">
        <v>704</v>
      </c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</row>
    <row r="52" spans="1:27" ht="15.75" customHeight="1">
      <c r="A52" s="46"/>
      <c r="B52" s="50"/>
      <c r="C52" s="50"/>
      <c r="D52" s="358"/>
      <c r="E52" s="50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 spans="1:27" ht="15.75" customHeight="1">
      <c r="A53" s="46"/>
      <c r="B53" s="135" t="s">
        <v>705</v>
      </c>
      <c r="C53" s="359" t="s">
        <v>176</v>
      </c>
      <c r="D53" s="358"/>
      <c r="E53" s="50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75" customHeight="1">
      <c r="A54" s="46"/>
      <c r="B54" s="140" t="s">
        <v>177</v>
      </c>
      <c r="C54" s="11"/>
      <c r="D54" s="140" t="s">
        <v>35</v>
      </c>
      <c r="E54" s="50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 spans="1:27" ht="15" customHeight="1">
      <c r="A55" s="46"/>
      <c r="B55" s="50" t="s">
        <v>36</v>
      </c>
      <c r="C55" s="11">
        <v>2</v>
      </c>
      <c r="D55" s="27" t="s">
        <v>36</v>
      </c>
      <c r="E55" s="27">
        <f>COUNTIF(E2:E38, "C")</f>
        <v>6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" customHeight="1">
      <c r="A56" s="46"/>
      <c r="B56" s="50" t="s">
        <v>37</v>
      </c>
      <c r="C56" s="50"/>
      <c r="D56" s="27" t="s">
        <v>37</v>
      </c>
      <c r="E56" s="27">
        <f>COUNTIF(E2:E51, "H")</f>
        <v>11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>
      <c r="A57" s="46"/>
      <c r="B57" s="50" t="s">
        <v>38</v>
      </c>
      <c r="C57" s="50"/>
      <c r="D57" s="27" t="s">
        <v>38</v>
      </c>
      <c r="E57" s="27">
        <f>COUNTIF(E2:E51, "M")</f>
        <v>30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>
      <c r="A58" s="46"/>
      <c r="B58" s="50" t="s">
        <v>39</v>
      </c>
      <c r="C58" s="50">
        <v>2</v>
      </c>
      <c r="D58" s="27" t="s">
        <v>39</v>
      </c>
      <c r="E58" s="27">
        <f>COUNTIF(E2:E38, "coord")</f>
        <v>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>
      <c r="A59" s="46"/>
      <c r="B59" s="50" t="s">
        <v>40</v>
      </c>
      <c r="C59" s="50">
        <v>36</v>
      </c>
      <c r="D59" s="27" t="s">
        <v>40</v>
      </c>
      <c r="E59" s="27">
        <f>SUM(E55:E58)</f>
        <v>49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>
      <c r="A60" s="3"/>
      <c r="B60" s="50"/>
      <c r="C60" s="50"/>
      <c r="D60" s="133"/>
      <c r="E60" s="5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>
      <c r="A61" s="3"/>
      <c r="B61" s="50"/>
      <c r="C61" s="50"/>
      <c r="D61" s="50"/>
      <c r="E61" s="5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>
      <c r="A62" s="3"/>
      <c r="B62" s="50"/>
      <c r="C62" s="50"/>
      <c r="D62" s="50"/>
      <c r="E62" s="5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>
      <c r="A63" s="3"/>
      <c r="B63" s="50"/>
      <c r="C63" s="50"/>
      <c r="D63" s="50"/>
      <c r="E63" s="5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A64" s="3"/>
      <c r="B64" s="50"/>
      <c r="C64" s="50"/>
      <c r="D64" s="50"/>
      <c r="E64" s="5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>
      <c r="A65" s="3"/>
      <c r="B65" s="50"/>
      <c r="C65" s="50"/>
      <c r="D65" s="50"/>
      <c r="E65" s="5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3"/>
      <c r="B66" s="50"/>
      <c r="C66" s="50"/>
      <c r="D66" s="50"/>
      <c r="E66" s="5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3"/>
      <c r="B67" s="50"/>
      <c r="C67" s="50"/>
      <c r="D67" s="50"/>
      <c r="E67" s="5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3"/>
      <c r="B68" s="50"/>
      <c r="C68" s="50"/>
      <c r="D68" s="50"/>
      <c r="E68" s="5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3"/>
      <c r="B69" s="50"/>
      <c r="C69" s="50"/>
      <c r="D69" s="50"/>
      <c r="E69" s="5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3"/>
      <c r="B70" s="50"/>
      <c r="C70" s="50"/>
      <c r="D70" s="50"/>
      <c r="E70" s="5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3"/>
      <c r="B71" s="50"/>
      <c r="C71" s="50"/>
      <c r="D71" s="50"/>
      <c r="E71" s="5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3"/>
      <c r="B72" s="50"/>
      <c r="C72" s="50"/>
      <c r="D72" s="50"/>
      <c r="E72" s="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3"/>
      <c r="B73" s="50"/>
      <c r="C73" s="50"/>
      <c r="D73" s="50"/>
      <c r="E73" s="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3"/>
      <c r="B74" s="50"/>
      <c r="C74" s="50"/>
      <c r="D74" s="50"/>
      <c r="E74" s="5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3"/>
      <c r="B75" s="50"/>
      <c r="C75" s="50"/>
      <c r="D75" s="50"/>
      <c r="E75" s="5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3"/>
      <c r="B76" s="50"/>
      <c r="C76" s="50"/>
      <c r="D76" s="50"/>
      <c r="E76" s="5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3"/>
      <c r="B77" s="50"/>
      <c r="C77" s="50"/>
      <c r="D77" s="50"/>
      <c r="E77" s="5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3"/>
      <c r="B78" s="50"/>
      <c r="C78" s="50"/>
      <c r="D78" s="50"/>
      <c r="E78" s="5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3"/>
      <c r="B79" s="50"/>
      <c r="C79" s="50"/>
      <c r="D79" s="50"/>
      <c r="E79" s="5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3"/>
      <c r="B80" s="50"/>
      <c r="C80" s="50"/>
      <c r="D80" s="50"/>
      <c r="E80" s="5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3"/>
      <c r="B81" s="50"/>
      <c r="C81" s="50"/>
      <c r="D81" s="50"/>
      <c r="E81" s="5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>
      <c r="A82" s="3"/>
      <c r="B82" s="50"/>
      <c r="C82" s="50"/>
      <c r="D82" s="50"/>
      <c r="E82" s="5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>
      <c r="A83" s="3"/>
      <c r="B83" s="50"/>
      <c r="C83" s="50"/>
      <c r="D83" s="50"/>
      <c r="E83" s="5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>
      <c r="A84" s="3"/>
      <c r="B84" s="50"/>
      <c r="C84" s="50"/>
      <c r="D84" s="50"/>
      <c r="E84" s="5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>
      <c r="A85" s="3"/>
      <c r="B85" s="50"/>
      <c r="C85" s="50"/>
      <c r="D85" s="50"/>
      <c r="E85" s="5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3"/>
      <c r="B86" s="50"/>
      <c r="C86" s="50"/>
      <c r="D86" s="50"/>
      <c r="E86" s="5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3"/>
      <c r="B87" s="50"/>
      <c r="C87" s="50"/>
      <c r="D87" s="50"/>
      <c r="E87" s="5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3"/>
      <c r="B88" s="50"/>
      <c r="C88" s="50"/>
      <c r="D88" s="50"/>
      <c r="E88" s="5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3"/>
      <c r="B89" s="50"/>
      <c r="C89" s="50"/>
      <c r="D89" s="50"/>
      <c r="E89" s="5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>
      <c r="A90" s="3"/>
      <c r="B90" s="50"/>
      <c r="C90" s="50"/>
      <c r="D90" s="50"/>
      <c r="E90" s="5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>
      <c r="A91" s="3"/>
      <c r="B91" s="50"/>
      <c r="C91" s="50"/>
      <c r="D91" s="50"/>
      <c r="E91" s="5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>
      <c r="A92" s="3"/>
      <c r="B92" s="50"/>
      <c r="C92" s="50"/>
      <c r="D92" s="50"/>
      <c r="E92" s="5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>
      <c r="A93" s="3"/>
      <c r="B93" s="50"/>
      <c r="C93" s="50"/>
      <c r="D93" s="50"/>
      <c r="E93" s="5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>
      <c r="A94" s="3"/>
      <c r="B94" s="50"/>
      <c r="C94" s="50"/>
      <c r="D94" s="50"/>
      <c r="E94" s="5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>
      <c r="A95" s="3"/>
      <c r="B95" s="50"/>
      <c r="C95" s="50"/>
      <c r="D95" s="50"/>
      <c r="E95" s="5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>
      <c r="A96" s="3"/>
      <c r="B96" s="50"/>
      <c r="C96" s="50"/>
      <c r="D96" s="50"/>
      <c r="E96" s="5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>
      <c r="A97" s="3"/>
      <c r="B97" s="50"/>
      <c r="C97" s="50"/>
      <c r="D97" s="50"/>
      <c r="E97" s="5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>
      <c r="A98" s="3"/>
      <c r="B98" s="50"/>
      <c r="C98" s="50"/>
      <c r="D98" s="50"/>
      <c r="E98" s="5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>
      <c r="A99" s="3"/>
      <c r="B99" s="50"/>
      <c r="C99" s="50"/>
      <c r="D99" s="50"/>
      <c r="E99" s="5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>
      <c r="A100" s="3"/>
      <c r="B100" s="50"/>
      <c r="C100" s="50"/>
      <c r="D100" s="50"/>
      <c r="E100" s="5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>
      <c r="A101" s="3"/>
      <c r="B101" s="50"/>
      <c r="C101" s="50"/>
      <c r="D101" s="50"/>
      <c r="E101" s="5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3"/>
      <c r="B102" s="50"/>
      <c r="C102" s="50"/>
      <c r="D102" s="50"/>
      <c r="E102" s="5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>
      <c r="A103" s="3"/>
      <c r="B103" s="50"/>
      <c r="C103" s="50"/>
      <c r="D103" s="50"/>
      <c r="E103" s="5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>
      <c r="A104" s="3"/>
      <c r="B104" s="50"/>
      <c r="C104" s="50"/>
      <c r="D104" s="50"/>
      <c r="E104" s="5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>
      <c r="A105" s="3"/>
      <c r="B105" s="50"/>
      <c r="C105" s="50"/>
      <c r="D105" s="50"/>
      <c r="E105" s="5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>
      <c r="A106" s="3"/>
      <c r="B106" s="50"/>
      <c r="C106" s="50"/>
      <c r="D106" s="50"/>
      <c r="E106" s="5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>
      <c r="A107" s="3"/>
      <c r="B107" s="50"/>
      <c r="C107" s="50"/>
      <c r="D107" s="50"/>
      <c r="E107" s="5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>
      <c r="A108" s="3"/>
      <c r="B108" s="50"/>
      <c r="C108" s="50"/>
      <c r="D108" s="50"/>
      <c r="E108" s="5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>
      <c r="A109" s="3"/>
      <c r="B109" s="50"/>
      <c r="C109" s="50"/>
      <c r="D109" s="50"/>
      <c r="E109" s="5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>
      <c r="A110" s="3"/>
      <c r="B110" s="50"/>
      <c r="C110" s="50"/>
      <c r="D110" s="50"/>
      <c r="E110" s="5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>
      <c r="A111" s="3"/>
      <c r="B111" s="50"/>
      <c r="C111" s="50"/>
      <c r="D111" s="50"/>
      <c r="E111" s="5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>
      <c r="A112" s="3"/>
      <c r="B112" s="50"/>
      <c r="C112" s="50"/>
      <c r="D112" s="50"/>
      <c r="E112" s="5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>
      <c r="A113" s="3"/>
      <c r="B113" s="50"/>
      <c r="C113" s="50"/>
      <c r="D113" s="50"/>
      <c r="E113" s="5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>
      <c r="A114" s="3"/>
      <c r="B114" s="50"/>
      <c r="C114" s="50"/>
      <c r="D114" s="50"/>
      <c r="E114" s="5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>
      <c r="A115" s="3"/>
      <c r="B115" s="50"/>
      <c r="C115" s="50"/>
      <c r="D115" s="50"/>
      <c r="E115" s="5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>
      <c r="A116" s="3"/>
      <c r="B116" s="50"/>
      <c r="C116" s="50"/>
      <c r="D116" s="50"/>
      <c r="E116" s="5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>
      <c r="A117" s="3"/>
      <c r="B117" s="50"/>
      <c r="C117" s="50"/>
      <c r="D117" s="50"/>
      <c r="E117" s="5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>
      <c r="A118" s="3"/>
      <c r="B118" s="50"/>
      <c r="C118" s="50"/>
      <c r="D118" s="50"/>
      <c r="E118" s="5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>
      <c r="A119" s="3"/>
      <c r="B119" s="50"/>
      <c r="C119" s="50"/>
      <c r="D119" s="50"/>
      <c r="E119" s="5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>
      <c r="A120" s="3"/>
      <c r="B120" s="50"/>
      <c r="C120" s="50"/>
      <c r="D120" s="50"/>
      <c r="E120" s="5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3"/>
      <c r="B121" s="50"/>
      <c r="C121" s="50"/>
      <c r="D121" s="50"/>
      <c r="E121" s="5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3"/>
      <c r="B122" s="50"/>
      <c r="C122" s="50"/>
      <c r="D122" s="50"/>
      <c r="E122" s="5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3"/>
      <c r="B123" s="50"/>
      <c r="C123" s="50"/>
      <c r="D123" s="50"/>
      <c r="E123" s="5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50"/>
      <c r="C124" s="50"/>
      <c r="D124" s="50"/>
      <c r="E124" s="5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50"/>
      <c r="C125" s="50"/>
      <c r="D125" s="50"/>
      <c r="E125" s="5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50"/>
      <c r="C126" s="50"/>
      <c r="D126" s="50"/>
      <c r="E126" s="5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50"/>
      <c r="C127" s="50"/>
      <c r="D127" s="50"/>
      <c r="E127" s="5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50"/>
      <c r="C128" s="50"/>
      <c r="D128" s="50"/>
      <c r="E128" s="5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50"/>
      <c r="C129" s="50"/>
      <c r="D129" s="50"/>
      <c r="E129" s="5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50"/>
      <c r="C130" s="50"/>
      <c r="D130" s="50"/>
      <c r="E130" s="5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50"/>
      <c r="C131" s="50"/>
      <c r="D131" s="50"/>
      <c r="E131" s="5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50"/>
      <c r="C132" s="50"/>
      <c r="D132" s="50"/>
      <c r="E132" s="5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50"/>
      <c r="C133" s="50"/>
      <c r="D133" s="50"/>
      <c r="E133" s="5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50"/>
      <c r="C134" s="50"/>
      <c r="D134" s="50"/>
      <c r="E134" s="5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50"/>
      <c r="C135" s="50"/>
      <c r="D135" s="50"/>
      <c r="E135" s="5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50"/>
      <c r="C136" s="50"/>
      <c r="D136" s="50"/>
      <c r="E136" s="5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>
      <c r="A137" s="3"/>
      <c r="B137" s="50"/>
      <c r="C137" s="50"/>
      <c r="D137" s="50"/>
      <c r="E137" s="5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>
      <c r="A138" s="3"/>
      <c r="B138" s="50"/>
      <c r="C138" s="50"/>
      <c r="D138" s="50"/>
      <c r="E138" s="5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>
      <c r="A139" s="3"/>
      <c r="B139" s="50"/>
      <c r="C139" s="50"/>
      <c r="D139" s="50"/>
      <c r="E139" s="5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>
      <c r="A140" s="3"/>
      <c r="B140" s="50"/>
      <c r="C140" s="50"/>
      <c r="D140" s="50"/>
      <c r="E140" s="5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>
      <c r="A141" s="3"/>
      <c r="B141" s="50"/>
      <c r="C141" s="50"/>
      <c r="D141" s="50"/>
      <c r="E141" s="5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>
      <c r="A142" s="3"/>
      <c r="B142" s="50"/>
      <c r="C142" s="50"/>
      <c r="D142" s="50"/>
      <c r="E142" s="5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>
      <c r="A143" s="3"/>
      <c r="B143" s="50"/>
      <c r="C143" s="50"/>
      <c r="D143" s="50"/>
      <c r="E143" s="5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>
      <c r="A144" s="3"/>
      <c r="B144" s="50"/>
      <c r="C144" s="50"/>
      <c r="D144" s="50"/>
      <c r="E144" s="5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>
      <c r="A145" s="3"/>
      <c r="B145" s="50"/>
      <c r="C145" s="50"/>
      <c r="D145" s="50"/>
      <c r="E145" s="5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>
      <c r="A146" s="3"/>
      <c r="B146" s="50"/>
      <c r="C146" s="50"/>
      <c r="D146" s="50"/>
      <c r="E146" s="5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>
      <c r="A147" s="3"/>
      <c r="B147" s="50"/>
      <c r="C147" s="50"/>
      <c r="D147" s="50"/>
      <c r="E147" s="5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>
      <c r="A148" s="3"/>
      <c r="B148" s="50"/>
      <c r="C148" s="50"/>
      <c r="D148" s="50"/>
      <c r="E148" s="5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>
      <c r="A149" s="3"/>
      <c r="B149" s="50"/>
      <c r="C149" s="50"/>
      <c r="D149" s="50"/>
      <c r="E149" s="5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>
      <c r="A150" s="3"/>
      <c r="B150" s="50"/>
      <c r="C150" s="50"/>
      <c r="D150" s="50"/>
      <c r="E150" s="5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>
      <c r="A151" s="3"/>
      <c r="B151" s="50"/>
      <c r="C151" s="50"/>
      <c r="D151" s="50"/>
      <c r="E151" s="5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>
      <c r="A152" s="3"/>
      <c r="B152" s="50"/>
      <c r="C152" s="50"/>
      <c r="D152" s="50"/>
      <c r="E152" s="5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>
      <c r="A153" s="3"/>
      <c r="B153" s="50"/>
      <c r="C153" s="50"/>
      <c r="D153" s="50"/>
      <c r="E153" s="5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>
      <c r="A154" s="3"/>
      <c r="B154" s="50"/>
      <c r="C154" s="50"/>
      <c r="D154" s="50"/>
      <c r="E154" s="5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>
      <c r="A155" s="3"/>
      <c r="B155" s="50"/>
      <c r="C155" s="50"/>
      <c r="D155" s="50"/>
      <c r="E155" s="5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>
      <c r="A156" s="3"/>
      <c r="B156" s="50"/>
      <c r="C156" s="50"/>
      <c r="D156" s="50"/>
      <c r="E156" s="5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>
      <c r="A157" s="3"/>
      <c r="B157" s="50"/>
      <c r="C157" s="50"/>
      <c r="D157" s="50"/>
      <c r="E157" s="5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>
      <c r="A158" s="3"/>
      <c r="B158" s="50"/>
      <c r="C158" s="50"/>
      <c r="D158" s="50"/>
      <c r="E158" s="5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>
      <c r="A159" s="3"/>
      <c r="B159" s="50"/>
      <c r="C159" s="50"/>
      <c r="D159" s="50"/>
      <c r="E159" s="5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>
      <c r="A160" s="3"/>
      <c r="B160" s="50"/>
      <c r="C160" s="50"/>
      <c r="D160" s="50"/>
      <c r="E160" s="5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>
      <c r="A161" s="3"/>
      <c r="B161" s="50"/>
      <c r="C161" s="50"/>
      <c r="D161" s="50"/>
      <c r="E161" s="5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>
      <c r="A162" s="3"/>
      <c r="B162" s="50"/>
      <c r="C162" s="50"/>
      <c r="D162" s="50"/>
      <c r="E162" s="5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>
      <c r="A163" s="3"/>
      <c r="B163" s="50"/>
      <c r="C163" s="50"/>
      <c r="D163" s="50"/>
      <c r="E163" s="5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>
      <c r="A164" s="3"/>
      <c r="B164" s="50"/>
      <c r="C164" s="50"/>
      <c r="D164" s="50"/>
      <c r="E164" s="5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>
      <c r="A165" s="3"/>
      <c r="B165" s="50"/>
      <c r="C165" s="50"/>
      <c r="D165" s="50"/>
      <c r="E165" s="5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>
      <c r="A166" s="3"/>
      <c r="B166" s="50"/>
      <c r="C166" s="50"/>
      <c r="D166" s="50"/>
      <c r="E166" s="5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>
      <c r="A167" s="3"/>
      <c r="B167" s="50"/>
      <c r="C167" s="50"/>
      <c r="D167" s="50"/>
      <c r="E167" s="5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>
      <c r="A168" s="3"/>
      <c r="B168" s="50"/>
      <c r="C168" s="50"/>
      <c r="D168" s="50"/>
      <c r="E168" s="5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>
      <c r="A169" s="3"/>
      <c r="B169" s="50"/>
      <c r="C169" s="50"/>
      <c r="D169" s="50"/>
      <c r="E169" s="5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>
      <c r="A170" s="3"/>
      <c r="B170" s="50"/>
      <c r="C170" s="50"/>
      <c r="D170" s="50"/>
      <c r="E170" s="5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>
      <c r="A171" s="3"/>
      <c r="B171" s="50"/>
      <c r="C171" s="50"/>
      <c r="D171" s="50"/>
      <c r="E171" s="5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>
      <c r="A172" s="3"/>
      <c r="B172" s="50"/>
      <c r="C172" s="50"/>
      <c r="D172" s="50"/>
      <c r="E172" s="5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>
      <c r="A173" s="3"/>
      <c r="B173" s="50"/>
      <c r="C173" s="50"/>
      <c r="D173" s="50"/>
      <c r="E173" s="5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>
      <c r="A174" s="3"/>
      <c r="B174" s="50"/>
      <c r="C174" s="50"/>
      <c r="D174" s="50"/>
      <c r="E174" s="5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>
      <c r="A175" s="3"/>
      <c r="B175" s="50"/>
      <c r="C175" s="50"/>
      <c r="D175" s="50"/>
      <c r="E175" s="5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>
      <c r="A176" s="3"/>
      <c r="B176" s="50"/>
      <c r="C176" s="50"/>
      <c r="D176" s="50"/>
      <c r="E176" s="5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>
      <c r="A177" s="3"/>
      <c r="B177" s="50"/>
      <c r="C177" s="50"/>
      <c r="D177" s="50"/>
      <c r="E177" s="5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>
      <c r="A178" s="3"/>
      <c r="B178" s="50"/>
      <c r="C178" s="50"/>
      <c r="D178" s="50"/>
      <c r="E178" s="5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>
      <c r="A179" s="3"/>
      <c r="B179" s="50"/>
      <c r="C179" s="50"/>
      <c r="D179" s="50"/>
      <c r="E179" s="5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>
      <c r="A180" s="3"/>
      <c r="B180" s="50"/>
      <c r="C180" s="50"/>
      <c r="D180" s="50"/>
      <c r="E180" s="5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>
      <c r="A181" s="3"/>
      <c r="B181" s="50"/>
      <c r="C181" s="50"/>
      <c r="D181" s="50"/>
      <c r="E181" s="5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>
      <c r="A182" s="3"/>
      <c r="B182" s="50"/>
      <c r="C182" s="50"/>
      <c r="D182" s="50"/>
      <c r="E182" s="5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>
      <c r="A183" s="3"/>
      <c r="B183" s="50"/>
      <c r="C183" s="50"/>
      <c r="D183" s="50"/>
      <c r="E183" s="5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>
      <c r="A184" s="3"/>
      <c r="B184" s="50"/>
      <c r="C184" s="50"/>
      <c r="D184" s="50"/>
      <c r="E184" s="5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>
      <c r="A185" s="3"/>
      <c r="B185" s="50"/>
      <c r="C185" s="50"/>
      <c r="D185" s="50"/>
      <c r="E185" s="5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>
      <c r="A186" s="3"/>
      <c r="B186" s="50"/>
      <c r="C186" s="50"/>
      <c r="D186" s="50"/>
      <c r="E186" s="5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>
      <c r="A187" s="3"/>
      <c r="B187" s="50"/>
      <c r="C187" s="50"/>
      <c r="D187" s="50"/>
      <c r="E187" s="5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>
      <c r="A188" s="3"/>
      <c r="B188" s="50"/>
      <c r="C188" s="50"/>
      <c r="D188" s="50"/>
      <c r="E188" s="5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>
      <c r="A189" s="3"/>
      <c r="B189" s="50"/>
      <c r="C189" s="50"/>
      <c r="D189" s="50"/>
      <c r="E189" s="5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>
      <c r="A190" s="3"/>
      <c r="B190" s="50"/>
      <c r="C190" s="50"/>
      <c r="D190" s="50"/>
      <c r="E190" s="5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>
      <c r="A191" s="3"/>
      <c r="B191" s="50"/>
      <c r="C191" s="50"/>
      <c r="D191" s="50"/>
      <c r="E191" s="5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>
      <c r="A192" s="3"/>
      <c r="B192" s="50"/>
      <c r="C192" s="50"/>
      <c r="D192" s="50"/>
      <c r="E192" s="5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>
      <c r="A193" s="3"/>
      <c r="B193" s="50"/>
      <c r="C193" s="50"/>
      <c r="D193" s="50"/>
      <c r="E193" s="5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>
      <c r="A194" s="3"/>
      <c r="B194" s="50"/>
      <c r="C194" s="50"/>
      <c r="D194" s="50"/>
      <c r="E194" s="5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>
      <c r="A195" s="3"/>
      <c r="B195" s="50"/>
      <c r="C195" s="50"/>
      <c r="D195" s="50"/>
      <c r="E195" s="5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>
      <c r="A196" s="3"/>
      <c r="B196" s="50"/>
      <c r="C196" s="50"/>
      <c r="D196" s="50"/>
      <c r="E196" s="5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>
      <c r="A197" s="3"/>
      <c r="B197" s="50"/>
      <c r="C197" s="50"/>
      <c r="D197" s="50"/>
      <c r="E197" s="5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>
      <c r="A198" s="3"/>
      <c r="B198" s="50"/>
      <c r="C198" s="50"/>
      <c r="D198" s="50"/>
      <c r="E198" s="5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>
      <c r="A199" s="3"/>
      <c r="B199" s="50"/>
      <c r="C199" s="50"/>
      <c r="D199" s="50"/>
      <c r="E199" s="5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>
      <c r="A200" s="3"/>
      <c r="B200" s="50"/>
      <c r="C200" s="50"/>
      <c r="D200" s="50"/>
      <c r="E200" s="5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>
      <c r="A201" s="3"/>
      <c r="B201" s="50"/>
      <c r="C201" s="50"/>
      <c r="D201" s="50"/>
      <c r="E201" s="5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>
      <c r="A202" s="3"/>
      <c r="B202" s="50"/>
      <c r="C202" s="50"/>
      <c r="D202" s="50"/>
      <c r="E202" s="5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>
      <c r="A203" s="3"/>
      <c r="B203" s="50"/>
      <c r="C203" s="50"/>
      <c r="D203" s="50"/>
      <c r="E203" s="5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>
      <c r="A204" s="3"/>
      <c r="B204" s="50"/>
      <c r="C204" s="50"/>
      <c r="D204" s="50"/>
      <c r="E204" s="5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>
      <c r="A205" s="3"/>
      <c r="B205" s="50"/>
      <c r="C205" s="50"/>
      <c r="D205" s="50"/>
      <c r="E205" s="5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>
      <c r="A206" s="3"/>
      <c r="B206" s="50"/>
      <c r="C206" s="50"/>
      <c r="D206" s="50"/>
      <c r="E206" s="5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>
      <c r="A207" s="3"/>
      <c r="B207" s="50"/>
      <c r="C207" s="50"/>
      <c r="D207" s="50"/>
      <c r="E207" s="5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>
      <c r="A208" s="3"/>
      <c r="B208" s="50"/>
      <c r="C208" s="50"/>
      <c r="D208" s="50"/>
      <c r="E208" s="5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>
      <c r="A209" s="3"/>
      <c r="B209" s="50"/>
      <c r="C209" s="50"/>
      <c r="D209" s="50"/>
      <c r="E209" s="5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>
      <c r="A210" s="3"/>
      <c r="B210" s="50"/>
      <c r="C210" s="50"/>
      <c r="D210" s="50"/>
      <c r="E210" s="5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>
      <c r="A211" s="3"/>
      <c r="B211" s="50"/>
      <c r="C211" s="50"/>
      <c r="D211" s="50"/>
      <c r="E211" s="5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>
      <c r="A212" s="3"/>
      <c r="B212" s="50"/>
      <c r="C212" s="50"/>
      <c r="D212" s="50"/>
      <c r="E212" s="5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>
      <c r="A213" s="3"/>
      <c r="B213" s="50"/>
      <c r="C213" s="50"/>
      <c r="D213" s="50"/>
      <c r="E213" s="5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>
      <c r="A214" s="3"/>
      <c r="B214" s="50"/>
      <c r="C214" s="50"/>
      <c r="D214" s="50"/>
      <c r="E214" s="5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>
      <c r="A215" s="3"/>
      <c r="B215" s="50"/>
      <c r="C215" s="50"/>
      <c r="D215" s="50"/>
      <c r="E215" s="5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>
      <c r="A216" s="3"/>
      <c r="B216" s="50"/>
      <c r="C216" s="50"/>
      <c r="D216" s="50"/>
      <c r="E216" s="5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>
      <c r="A217" s="3"/>
      <c r="B217" s="50"/>
      <c r="C217" s="50"/>
      <c r="D217" s="50"/>
      <c r="E217" s="5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>
      <c r="A218" s="3"/>
      <c r="B218" s="50"/>
      <c r="C218" s="50"/>
      <c r="D218" s="50"/>
      <c r="E218" s="5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>
      <c r="A219" s="3"/>
      <c r="B219" s="50"/>
      <c r="C219" s="50"/>
      <c r="D219" s="50"/>
      <c r="E219" s="5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3"/>
      <c r="B220" s="50"/>
      <c r="C220" s="50"/>
      <c r="D220" s="50"/>
      <c r="E220" s="5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>
      <c r="A221" s="3"/>
      <c r="B221" s="50"/>
      <c r="C221" s="50"/>
      <c r="D221" s="50"/>
      <c r="E221" s="5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>
      <c r="A222" s="3"/>
      <c r="B222" s="50"/>
      <c r="C222" s="50"/>
      <c r="D222" s="50"/>
      <c r="E222" s="5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>
      <c r="A223" s="3"/>
      <c r="B223" s="50"/>
      <c r="C223" s="50"/>
      <c r="D223" s="50"/>
      <c r="E223" s="5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>
      <c r="A224" s="3"/>
      <c r="B224" s="50"/>
      <c r="C224" s="50"/>
      <c r="D224" s="50"/>
      <c r="E224" s="5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>
      <c r="A225" s="3"/>
      <c r="B225" s="50"/>
      <c r="C225" s="50"/>
      <c r="D225" s="50"/>
      <c r="E225" s="5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>
      <c r="A226" s="3"/>
      <c r="B226" s="50"/>
      <c r="C226" s="50"/>
      <c r="D226" s="50"/>
      <c r="E226" s="5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>
      <c r="A227" s="3"/>
      <c r="B227" s="50"/>
      <c r="C227" s="50"/>
      <c r="D227" s="50"/>
      <c r="E227" s="5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>
      <c r="A228" s="3"/>
      <c r="B228" s="50"/>
      <c r="C228" s="50"/>
      <c r="D228" s="50"/>
      <c r="E228" s="5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>
      <c r="A229" s="3"/>
      <c r="B229" s="50"/>
      <c r="C229" s="50"/>
      <c r="D229" s="50"/>
      <c r="E229" s="5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>
      <c r="A230" s="3"/>
      <c r="B230" s="50"/>
      <c r="C230" s="50"/>
      <c r="D230" s="50"/>
      <c r="E230" s="5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>
      <c r="A231" s="3"/>
      <c r="B231" s="50"/>
      <c r="C231" s="50"/>
      <c r="D231" s="50"/>
      <c r="E231" s="5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>
      <c r="A232" s="3"/>
      <c r="B232" s="50"/>
      <c r="C232" s="50"/>
      <c r="D232" s="50"/>
      <c r="E232" s="5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>
      <c r="A233" s="3"/>
      <c r="B233" s="50"/>
      <c r="C233" s="50"/>
      <c r="D233" s="50"/>
      <c r="E233" s="5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>
      <c r="A234" s="3"/>
      <c r="B234" s="50"/>
      <c r="C234" s="50"/>
      <c r="D234" s="50"/>
      <c r="E234" s="5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>
      <c r="A235" s="3"/>
      <c r="B235" s="50"/>
      <c r="C235" s="50"/>
      <c r="D235" s="50"/>
      <c r="E235" s="5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>
      <c r="A236" s="3"/>
      <c r="B236" s="50"/>
      <c r="C236" s="50"/>
      <c r="D236" s="50"/>
      <c r="E236" s="5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>
      <c r="A237" s="3"/>
      <c r="B237" s="50"/>
      <c r="C237" s="50"/>
      <c r="D237" s="50"/>
      <c r="E237" s="5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>
      <c r="A238" s="3"/>
      <c r="B238" s="50"/>
      <c r="C238" s="50"/>
      <c r="D238" s="50"/>
      <c r="E238" s="5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>
      <c r="A239" s="3"/>
      <c r="B239" s="50"/>
      <c r="C239" s="50"/>
      <c r="D239" s="50"/>
      <c r="E239" s="5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>
      <c r="A240" s="3"/>
      <c r="B240" s="50"/>
      <c r="C240" s="50"/>
      <c r="D240" s="50"/>
      <c r="E240" s="5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>
      <c r="A241" s="3"/>
      <c r="B241" s="50"/>
      <c r="C241" s="50"/>
      <c r="D241" s="50"/>
      <c r="E241" s="5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>
      <c r="A242" s="3"/>
      <c r="B242" s="50"/>
      <c r="C242" s="50"/>
      <c r="D242" s="50"/>
      <c r="E242" s="5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>
      <c r="A243" s="3"/>
      <c r="B243" s="50"/>
      <c r="C243" s="50"/>
      <c r="D243" s="50"/>
      <c r="E243" s="5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>
      <c r="A244" s="3"/>
      <c r="B244" s="50"/>
      <c r="C244" s="50"/>
      <c r="D244" s="50"/>
      <c r="E244" s="5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>
      <c r="A245" s="3"/>
      <c r="B245" s="50"/>
      <c r="C245" s="50"/>
      <c r="D245" s="50"/>
      <c r="E245" s="5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>
      <c r="A246" s="3"/>
      <c r="B246" s="50"/>
      <c r="C246" s="50"/>
      <c r="D246" s="50"/>
      <c r="E246" s="5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>
      <c r="A247" s="3"/>
      <c r="B247" s="50"/>
      <c r="C247" s="50"/>
      <c r="D247" s="50"/>
      <c r="E247" s="5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>
      <c r="A248" s="3"/>
      <c r="B248" s="50"/>
      <c r="C248" s="50"/>
      <c r="D248" s="50"/>
      <c r="E248" s="5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>
      <c r="A249" s="3"/>
      <c r="B249" s="50"/>
      <c r="C249" s="50"/>
      <c r="D249" s="50"/>
      <c r="E249" s="5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>
      <c r="A250" s="3"/>
      <c r="B250" s="50"/>
      <c r="C250" s="50"/>
      <c r="D250" s="50"/>
      <c r="E250" s="5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>
      <c r="A251" s="3"/>
      <c r="B251" s="50"/>
      <c r="C251" s="50"/>
      <c r="D251" s="50"/>
      <c r="E251" s="5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>
      <c r="A252" s="3"/>
      <c r="B252" s="50"/>
      <c r="C252" s="50"/>
      <c r="D252" s="50"/>
      <c r="E252" s="5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>
      <c r="A253" s="3"/>
      <c r="B253" s="50"/>
      <c r="C253" s="50"/>
      <c r="D253" s="50"/>
      <c r="E253" s="5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>
      <c r="A254" s="3"/>
      <c r="B254" s="50"/>
      <c r="C254" s="50"/>
      <c r="D254" s="50"/>
      <c r="E254" s="5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>
      <c r="A255" s="3"/>
      <c r="B255" s="50"/>
      <c r="C255" s="50"/>
      <c r="D255" s="50"/>
      <c r="E255" s="5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>
      <c r="A256" s="3"/>
      <c r="B256" s="50"/>
      <c r="C256" s="50"/>
      <c r="D256" s="50"/>
      <c r="E256" s="5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>
      <c r="A257" s="3"/>
      <c r="B257" s="50"/>
      <c r="C257" s="50"/>
      <c r="D257" s="50"/>
      <c r="E257" s="5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>
      <c r="A258" s="3"/>
      <c r="B258" s="50"/>
      <c r="C258" s="50"/>
      <c r="D258" s="50"/>
      <c r="E258" s="5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>
      <c r="A259" s="3"/>
      <c r="B259" s="50"/>
      <c r="C259" s="50"/>
      <c r="D259" s="50"/>
      <c r="E259" s="5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/>
    <row r="261" spans="1:27" ht="15.75" customHeight="1"/>
    <row r="262" spans="1:27" ht="15.75" customHeight="1"/>
    <row r="263" spans="1:27" ht="15.75" customHeight="1"/>
    <row r="264" spans="1:27" ht="15.75" customHeight="1"/>
    <row r="265" spans="1:27" ht="15.75" customHeight="1"/>
    <row r="266" spans="1:27" ht="15.75" customHeight="1"/>
    <row r="267" spans="1:27" ht="15.75" customHeight="1"/>
    <row r="268" spans="1:27" ht="15.75" customHeight="1"/>
    <row r="269" spans="1:27" ht="15.75" customHeight="1"/>
    <row r="270" spans="1:27" ht="15.75" customHeight="1"/>
    <row r="271" spans="1:27" ht="15.75" customHeight="1"/>
    <row r="272" spans="1:2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ageMargins left="0.511811024" right="0.511811024" top="0.78740157499999996" bottom="0.78740157499999996" header="0" footer="0"/>
  <pageSetup orientation="landscape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FF00"/>
    <outlinePr summaryBelow="0" summaryRight="0"/>
  </sheetPr>
  <dimension ref="A1:Z1007"/>
  <sheetViews>
    <sheetView topLeftCell="A22" workbookViewId="0">
      <selection activeCell="A48" sqref="A48:XFD48"/>
    </sheetView>
  </sheetViews>
  <sheetFormatPr defaultColWidth="14.453125" defaultRowHeight="15" customHeight="1"/>
  <cols>
    <col min="1" max="1" width="3.54296875" customWidth="1"/>
    <col min="2" max="2" width="68.453125" customWidth="1"/>
    <col min="3" max="3" width="40.453125" customWidth="1"/>
    <col min="4" max="4" width="39.26953125" customWidth="1"/>
    <col min="5" max="5" width="13" customWidth="1"/>
    <col min="6" max="6" width="71.7265625" customWidth="1"/>
  </cols>
  <sheetData>
    <row r="1" spans="1:26" ht="15.5">
      <c r="A1" s="1" t="s">
        <v>0</v>
      </c>
      <c r="B1" s="1" t="s">
        <v>1</v>
      </c>
      <c r="C1" s="2" t="s">
        <v>2</v>
      </c>
      <c r="D1" s="1" t="s">
        <v>27</v>
      </c>
      <c r="E1" s="149"/>
      <c r="F1" s="1" t="s">
        <v>41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5">
      <c r="A2" s="8">
        <v>1</v>
      </c>
      <c r="B2" s="9" t="s">
        <v>706</v>
      </c>
      <c r="C2" s="31" t="s">
        <v>707</v>
      </c>
      <c r="D2" s="7"/>
      <c r="E2" s="7" t="s">
        <v>30</v>
      </c>
      <c r="F2" s="5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5">
      <c r="A3" s="10">
        <v>2</v>
      </c>
      <c r="B3" s="360" t="s">
        <v>708</v>
      </c>
      <c r="C3" s="360" t="s">
        <v>709</v>
      </c>
      <c r="D3" s="7"/>
      <c r="E3" s="7" t="s">
        <v>30</v>
      </c>
      <c r="F3" s="5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5">
      <c r="A4" s="158">
        <v>4</v>
      </c>
      <c r="B4" s="361" t="s">
        <v>710</v>
      </c>
      <c r="C4" s="362" t="s">
        <v>711</v>
      </c>
      <c r="D4" s="363"/>
      <c r="E4" s="69" t="s">
        <v>78</v>
      </c>
      <c r="F4" s="16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7.25" customHeight="1">
      <c r="A5" s="162">
        <v>6</v>
      </c>
      <c r="B5" s="364" t="s">
        <v>712</v>
      </c>
      <c r="C5" s="365" t="s">
        <v>713</v>
      </c>
      <c r="D5" s="24"/>
      <c r="E5" s="61" t="s">
        <v>78</v>
      </c>
      <c r="F5" s="160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7.25" customHeight="1">
      <c r="A6" s="167">
        <v>7</v>
      </c>
      <c r="B6" s="26" t="s">
        <v>714</v>
      </c>
      <c r="C6" s="366" t="s">
        <v>715</v>
      </c>
      <c r="D6" s="168"/>
      <c r="E6" s="42" t="s">
        <v>17</v>
      </c>
      <c r="F6" s="20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7.25" customHeight="1">
      <c r="A7" s="167">
        <v>8</v>
      </c>
      <c r="B7" s="42" t="s">
        <v>716</v>
      </c>
      <c r="C7" s="42" t="s">
        <v>717</v>
      </c>
      <c r="D7" s="87"/>
      <c r="E7" s="87" t="s">
        <v>17</v>
      </c>
      <c r="F7" s="7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5">
      <c r="A8" s="167">
        <v>9</v>
      </c>
      <c r="B8" s="42" t="s">
        <v>718</v>
      </c>
      <c r="C8" s="42">
        <v>83981201515</v>
      </c>
      <c r="D8" s="27"/>
      <c r="E8" s="27" t="s">
        <v>7</v>
      </c>
      <c r="F8" s="7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5">
      <c r="A9" s="167">
        <v>10</v>
      </c>
      <c r="B9" s="251" t="s">
        <v>719</v>
      </c>
      <c r="C9" s="42" t="s">
        <v>720</v>
      </c>
      <c r="D9" s="27"/>
      <c r="E9" s="27" t="s">
        <v>17</v>
      </c>
      <c r="F9" s="7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5">
      <c r="A10" s="167">
        <v>11</v>
      </c>
      <c r="B10" s="42" t="s">
        <v>721</v>
      </c>
      <c r="C10" s="42">
        <v>83987874824</v>
      </c>
      <c r="D10" s="168"/>
      <c r="E10" s="42" t="s">
        <v>7</v>
      </c>
      <c r="F10" s="7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5">
      <c r="A11" s="167">
        <v>12</v>
      </c>
      <c r="B11" s="42" t="s">
        <v>722</v>
      </c>
      <c r="C11" s="81" t="s">
        <v>723</v>
      </c>
      <c r="D11" s="222"/>
      <c r="E11" s="25" t="s">
        <v>7</v>
      </c>
      <c r="F11" s="7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5">
      <c r="A12" s="167">
        <v>13</v>
      </c>
      <c r="B12" s="42" t="s">
        <v>724</v>
      </c>
      <c r="C12" s="42" t="s">
        <v>725</v>
      </c>
      <c r="D12" s="259"/>
      <c r="E12" s="84" t="s">
        <v>7</v>
      </c>
      <c r="F12" s="7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5">
      <c r="A13" s="167">
        <v>14</v>
      </c>
      <c r="B13" s="42" t="s">
        <v>726</v>
      </c>
      <c r="C13" s="42" t="s">
        <v>727</v>
      </c>
      <c r="D13" s="85"/>
      <c r="E13" s="86" t="s">
        <v>17</v>
      </c>
      <c r="F13" s="7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5">
      <c r="A14" s="167">
        <v>15</v>
      </c>
      <c r="B14" s="36" t="s">
        <v>728</v>
      </c>
      <c r="C14" s="42" t="s">
        <v>729</v>
      </c>
      <c r="D14" s="367"/>
      <c r="E14" s="84" t="s">
        <v>17</v>
      </c>
      <c r="F14" s="7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5">
      <c r="A15" s="167">
        <v>16</v>
      </c>
      <c r="B15" s="90" t="s">
        <v>730</v>
      </c>
      <c r="C15" s="368" t="s">
        <v>731</v>
      </c>
      <c r="D15" s="76"/>
      <c r="E15" s="27" t="s">
        <v>17</v>
      </c>
      <c r="F15" s="7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5">
      <c r="A16" s="167">
        <v>17</v>
      </c>
      <c r="B16" s="45" t="s">
        <v>732</v>
      </c>
      <c r="C16" s="112" t="s">
        <v>733</v>
      </c>
      <c r="D16" s="87"/>
      <c r="E16" s="84" t="s">
        <v>17</v>
      </c>
      <c r="F16" s="7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5">
      <c r="A17" s="167">
        <v>18</v>
      </c>
      <c r="B17" s="108" t="s">
        <v>734</v>
      </c>
      <c r="C17" s="108" t="s">
        <v>735</v>
      </c>
      <c r="D17" s="88"/>
      <c r="E17" s="84" t="s">
        <v>7</v>
      </c>
      <c r="F17" s="7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5">
      <c r="A18" s="167">
        <v>19</v>
      </c>
      <c r="B18" s="45" t="s">
        <v>736</v>
      </c>
      <c r="C18" s="45">
        <v>83999872905</v>
      </c>
      <c r="D18" s="76"/>
      <c r="E18" s="27" t="s">
        <v>7</v>
      </c>
      <c r="F18" s="7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5">
      <c r="A19" s="167">
        <v>20</v>
      </c>
      <c r="B19" s="44" t="s">
        <v>737</v>
      </c>
      <c r="C19" s="97" t="s">
        <v>738</v>
      </c>
      <c r="D19" s="169"/>
      <c r="E19" s="81" t="s">
        <v>17</v>
      </c>
      <c r="F19" s="7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5">
      <c r="A20" s="167">
        <v>21</v>
      </c>
      <c r="B20" s="45" t="s">
        <v>739</v>
      </c>
      <c r="C20" s="45" t="s">
        <v>740</v>
      </c>
      <c r="D20" s="86"/>
      <c r="E20" s="86" t="s">
        <v>17</v>
      </c>
      <c r="F20" s="7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5">
      <c r="A21" s="167">
        <v>22</v>
      </c>
      <c r="B21" s="45" t="s">
        <v>741</v>
      </c>
      <c r="C21" s="45" t="s">
        <v>742</v>
      </c>
      <c r="D21" s="86"/>
      <c r="E21" s="86" t="s">
        <v>17</v>
      </c>
      <c r="F21" s="7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5">
      <c r="A22" s="167">
        <v>23</v>
      </c>
      <c r="B22" s="45" t="s">
        <v>743</v>
      </c>
      <c r="C22" s="45">
        <v>83998718308</v>
      </c>
      <c r="D22" s="88"/>
      <c r="E22" s="87" t="s">
        <v>17</v>
      </c>
      <c r="F22" s="7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5">
      <c r="A23" s="167">
        <v>24</v>
      </c>
      <c r="B23" s="45" t="s">
        <v>744</v>
      </c>
      <c r="C23" s="45" t="s">
        <v>745</v>
      </c>
      <c r="D23" s="99"/>
      <c r="E23" s="87" t="s">
        <v>17</v>
      </c>
      <c r="F23" s="7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5">
      <c r="A24" s="167">
        <v>25</v>
      </c>
      <c r="B24" s="45" t="s">
        <v>746</v>
      </c>
      <c r="C24" s="45">
        <v>83999143574</v>
      </c>
      <c r="D24" s="88"/>
      <c r="E24" s="87" t="s">
        <v>17</v>
      </c>
      <c r="F24" s="36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5">
      <c r="A25" s="167">
        <v>26</v>
      </c>
      <c r="B25" s="44" t="s">
        <v>747</v>
      </c>
      <c r="C25" s="45" t="s">
        <v>748</v>
      </c>
      <c r="D25" s="295"/>
      <c r="E25" s="42" t="s">
        <v>17</v>
      </c>
      <c r="F25" s="7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5">
      <c r="A26" s="167">
        <v>27</v>
      </c>
      <c r="B26" s="44" t="s">
        <v>749</v>
      </c>
      <c r="C26" s="45" t="s">
        <v>750</v>
      </c>
      <c r="D26" s="84"/>
      <c r="E26" s="27" t="s">
        <v>7</v>
      </c>
      <c r="F26" s="7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5">
      <c r="A27" s="167">
        <v>28</v>
      </c>
      <c r="B27" s="348" t="s">
        <v>751</v>
      </c>
      <c r="C27" s="348" t="s">
        <v>752</v>
      </c>
      <c r="D27" s="86"/>
      <c r="E27" s="86" t="s">
        <v>17</v>
      </c>
      <c r="F27" s="7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5">
      <c r="A28" s="167">
        <v>29</v>
      </c>
      <c r="B28" s="44" t="s">
        <v>753</v>
      </c>
      <c r="C28" s="112" t="s">
        <v>754</v>
      </c>
      <c r="D28" s="259"/>
      <c r="E28" s="259" t="s">
        <v>17</v>
      </c>
      <c r="F28" s="7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5">
      <c r="A29" s="167">
        <v>30</v>
      </c>
      <c r="B29" s="45" t="s">
        <v>755</v>
      </c>
      <c r="C29" s="112" t="s">
        <v>756</v>
      </c>
      <c r="D29" s="106"/>
      <c r="E29" s="86" t="s">
        <v>17</v>
      </c>
      <c r="F29" s="7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5">
      <c r="A30" s="167">
        <v>31</v>
      </c>
      <c r="B30" s="103" t="s">
        <v>757</v>
      </c>
      <c r="C30" s="103" t="s">
        <v>758</v>
      </c>
      <c r="D30" s="27"/>
      <c r="E30" s="27" t="s">
        <v>7</v>
      </c>
      <c r="F30" s="7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67">
        <v>32</v>
      </c>
      <c r="B31" s="45" t="s">
        <v>759</v>
      </c>
      <c r="C31" s="45">
        <v>83986462003</v>
      </c>
      <c r="D31" s="370"/>
      <c r="E31" s="27" t="s">
        <v>7</v>
      </c>
      <c r="F31" s="7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67">
        <v>33</v>
      </c>
      <c r="B32" s="45" t="s">
        <v>760</v>
      </c>
      <c r="C32" s="45" t="s">
        <v>761</v>
      </c>
      <c r="D32" s="27"/>
      <c r="E32" s="27" t="s">
        <v>17</v>
      </c>
      <c r="F32" s="7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67">
        <v>34</v>
      </c>
      <c r="B33" s="44" t="s">
        <v>762</v>
      </c>
      <c r="C33" s="97" t="s">
        <v>763</v>
      </c>
      <c r="D33" s="27"/>
      <c r="E33" s="27" t="s">
        <v>7</v>
      </c>
      <c r="F33" s="7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67">
        <v>35</v>
      </c>
      <c r="B34" s="44" t="s">
        <v>764</v>
      </c>
      <c r="C34" s="97" t="s">
        <v>765</v>
      </c>
      <c r="D34" s="27"/>
      <c r="E34" s="27" t="s">
        <v>17</v>
      </c>
      <c r="F34" s="7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67">
        <v>36</v>
      </c>
      <c r="B35" s="45" t="s">
        <v>766</v>
      </c>
      <c r="C35" s="45" t="s">
        <v>767</v>
      </c>
      <c r="D35" s="27"/>
      <c r="E35" s="27" t="s">
        <v>17</v>
      </c>
      <c r="F35" s="7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67">
        <v>37</v>
      </c>
      <c r="B36" s="44" t="s">
        <v>768</v>
      </c>
      <c r="C36" s="97" t="s">
        <v>769</v>
      </c>
      <c r="D36" s="175"/>
      <c r="E36" s="27" t="s">
        <v>7</v>
      </c>
      <c r="F36" s="7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67">
        <v>38</v>
      </c>
      <c r="B37" s="45" t="s">
        <v>770</v>
      </c>
      <c r="C37" s="45" t="s">
        <v>771</v>
      </c>
      <c r="D37" s="76"/>
      <c r="E37" s="27" t="s">
        <v>7</v>
      </c>
      <c r="F37" s="7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67">
        <v>39</v>
      </c>
      <c r="B38" s="45" t="s">
        <v>772</v>
      </c>
      <c r="C38" s="45" t="s">
        <v>773</v>
      </c>
      <c r="D38" s="27"/>
      <c r="E38" s="27" t="s">
        <v>17</v>
      </c>
      <c r="F38" s="7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67">
        <v>40</v>
      </c>
      <c r="B39" s="108" t="s">
        <v>774</v>
      </c>
      <c r="C39" s="108" t="s">
        <v>775</v>
      </c>
      <c r="D39" s="175"/>
      <c r="E39" s="27" t="s">
        <v>17</v>
      </c>
      <c r="F39" s="7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67">
        <v>41</v>
      </c>
      <c r="B40" s="108" t="s">
        <v>776</v>
      </c>
      <c r="C40" s="108" t="s">
        <v>777</v>
      </c>
      <c r="D40" s="109"/>
      <c r="E40" s="110" t="s">
        <v>17</v>
      </c>
      <c r="F40" s="7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67">
        <v>42</v>
      </c>
      <c r="B41" s="108" t="s">
        <v>778</v>
      </c>
      <c r="C41" s="108" t="s">
        <v>779</v>
      </c>
      <c r="D41" s="27"/>
      <c r="E41" s="27" t="s">
        <v>17</v>
      </c>
      <c r="F41" s="7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71">
        <v>43</v>
      </c>
      <c r="B42" s="108" t="s">
        <v>780</v>
      </c>
      <c r="C42" s="108" t="s">
        <v>781</v>
      </c>
      <c r="D42" s="75"/>
      <c r="E42" s="27" t="s">
        <v>17</v>
      </c>
      <c r="F42" s="7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71">
        <v>44</v>
      </c>
      <c r="B43" s="45" t="s">
        <v>782</v>
      </c>
      <c r="C43" s="45">
        <v>83996339089</v>
      </c>
      <c r="D43" s="86"/>
      <c r="E43" s="27" t="s">
        <v>7</v>
      </c>
      <c r="F43" s="7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46">
        <v>45</v>
      </c>
      <c r="B44" s="45" t="s">
        <v>783</v>
      </c>
      <c r="C44" s="45" t="s">
        <v>784</v>
      </c>
      <c r="D44" s="76"/>
      <c r="E44" s="27" t="s">
        <v>7</v>
      </c>
      <c r="F44" s="7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204">
        <v>47</v>
      </c>
      <c r="B45" s="44" t="s">
        <v>785</v>
      </c>
      <c r="C45" s="97" t="s">
        <v>786</v>
      </c>
      <c r="D45" s="75"/>
      <c r="E45" s="27" t="s">
        <v>17</v>
      </c>
      <c r="F45" s="9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204">
        <v>48</v>
      </c>
      <c r="B46" s="108" t="s">
        <v>787</v>
      </c>
      <c r="C46" s="108" t="s">
        <v>788</v>
      </c>
      <c r="D46" s="372"/>
      <c r="E46" s="27" t="s">
        <v>7</v>
      </c>
      <c r="F46" s="9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204">
        <v>49</v>
      </c>
      <c r="B47" s="108" t="s">
        <v>789</v>
      </c>
      <c r="C47" s="108" t="s">
        <v>790</v>
      </c>
      <c r="D47" s="27"/>
      <c r="E47" s="27" t="s">
        <v>17</v>
      </c>
      <c r="F47" s="93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5">
      <c r="A48" s="373">
        <v>50</v>
      </c>
      <c r="B48" s="374" t="s">
        <v>791</v>
      </c>
      <c r="C48" s="374" t="s">
        <v>792</v>
      </c>
      <c r="D48" s="375"/>
      <c r="E48" s="376" t="s">
        <v>793</v>
      </c>
      <c r="F48" s="376" t="s">
        <v>794</v>
      </c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</row>
    <row r="49" spans="1:26" ht="15.75" customHeight="1">
      <c r="A49" s="377"/>
      <c r="B49" s="50"/>
      <c r="C49" s="11"/>
      <c r="D49" s="50"/>
      <c r="E49" s="50"/>
      <c r="F49" s="37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77"/>
      <c r="B50" s="50"/>
      <c r="C50" s="11"/>
      <c r="D50" s="50"/>
      <c r="E50" s="50"/>
      <c r="F50" s="37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77"/>
      <c r="B51" s="50"/>
      <c r="C51" s="11"/>
      <c r="D51" s="50"/>
      <c r="E51" s="50"/>
      <c r="F51" s="37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77"/>
      <c r="B52" s="50"/>
      <c r="C52" s="11"/>
      <c r="D52" s="50"/>
      <c r="E52" s="50"/>
      <c r="F52" s="37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77"/>
      <c r="B53" s="50"/>
      <c r="C53" s="11"/>
      <c r="D53" s="50"/>
      <c r="E53" s="50"/>
      <c r="F53" s="37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79"/>
      <c r="B54" s="50" t="s">
        <v>36</v>
      </c>
      <c r="C54" s="11">
        <v>1</v>
      </c>
      <c r="D54" s="27" t="s">
        <v>36</v>
      </c>
      <c r="E54" s="27">
        <f>COUNTIF(E2:E44, "C")</f>
        <v>2</v>
      </c>
      <c r="F54" s="37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80"/>
      <c r="B55" s="50" t="s">
        <v>37</v>
      </c>
      <c r="C55" s="143"/>
      <c r="D55" s="27" t="s">
        <v>37</v>
      </c>
      <c r="E55" s="27">
        <f>COUNTIF(E2:E48, "H")</f>
        <v>15</v>
      </c>
      <c r="F55" s="37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80"/>
      <c r="B56" s="50" t="s">
        <v>38</v>
      </c>
      <c r="C56" s="143"/>
      <c r="D56" s="27" t="s">
        <v>38</v>
      </c>
      <c r="E56" s="27">
        <f>COUNTIF(E2:E48, "M")</f>
        <v>27</v>
      </c>
      <c r="F56" s="37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80"/>
      <c r="B57" s="50" t="s">
        <v>39</v>
      </c>
      <c r="C57" s="143">
        <v>2</v>
      </c>
      <c r="D57" s="27" t="s">
        <v>39</v>
      </c>
      <c r="E57" s="27">
        <v>2</v>
      </c>
      <c r="F57" s="37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80"/>
      <c r="B58" s="50" t="s">
        <v>40</v>
      </c>
      <c r="C58" s="143">
        <v>40</v>
      </c>
      <c r="D58" s="27" t="s">
        <v>40</v>
      </c>
      <c r="E58" s="27">
        <f>SUM(E54:E57)</f>
        <v>46</v>
      </c>
      <c r="F58" s="378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80"/>
      <c r="B59" s="50"/>
      <c r="C59" s="143"/>
      <c r="D59" s="143"/>
      <c r="E59" s="50"/>
      <c r="F59" s="37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80"/>
      <c r="B60" s="381"/>
      <c r="C60" s="382"/>
      <c r="D60" s="383"/>
      <c r="E60" s="384"/>
      <c r="F60" s="37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80"/>
      <c r="B61" s="50"/>
      <c r="C61" s="143"/>
      <c r="D61" s="143"/>
      <c r="E61" s="50"/>
      <c r="F61" s="37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80"/>
      <c r="B62" s="50"/>
      <c r="C62" s="143"/>
      <c r="D62" s="143"/>
      <c r="E62" s="50"/>
      <c r="F62" s="37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80"/>
      <c r="B63" s="50"/>
      <c r="C63" s="143"/>
      <c r="D63" s="143"/>
      <c r="E63" s="50"/>
      <c r="F63" s="37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80"/>
      <c r="B64" s="50"/>
      <c r="C64" s="143"/>
      <c r="D64" s="143"/>
      <c r="E64" s="5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80"/>
      <c r="B65" s="50"/>
      <c r="C65" s="143"/>
      <c r="D65" s="143"/>
      <c r="E65" s="5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80"/>
      <c r="B66" s="50"/>
      <c r="C66" s="143"/>
      <c r="D66" s="143"/>
      <c r="E66" s="5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80"/>
      <c r="B67" s="50"/>
      <c r="C67" s="143"/>
      <c r="D67" s="143"/>
      <c r="E67" s="5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80"/>
      <c r="B68" s="50"/>
      <c r="C68" s="143"/>
      <c r="D68" s="143"/>
      <c r="E68" s="5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80"/>
      <c r="B69" s="50"/>
      <c r="C69" s="143"/>
      <c r="D69" s="143"/>
      <c r="E69" s="5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80"/>
      <c r="B70" s="50"/>
      <c r="C70" s="143"/>
      <c r="D70" s="143"/>
      <c r="E70" s="5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80"/>
      <c r="B71" s="50"/>
      <c r="C71" s="143"/>
      <c r="D71" s="143"/>
      <c r="E71" s="5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80"/>
      <c r="B72" s="50"/>
      <c r="C72" s="143"/>
      <c r="D72" s="143"/>
      <c r="E72" s="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80"/>
      <c r="B73" s="50"/>
      <c r="C73" s="143"/>
      <c r="D73" s="143"/>
      <c r="E73" s="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80"/>
      <c r="B74" s="50"/>
      <c r="C74" s="143"/>
      <c r="D74" s="143"/>
      <c r="E74" s="5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80"/>
      <c r="B75" s="50"/>
      <c r="C75" s="143"/>
      <c r="D75" s="143"/>
      <c r="E75" s="5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80"/>
      <c r="B76" s="50"/>
      <c r="C76" s="143"/>
      <c r="D76" s="143"/>
      <c r="E76" s="5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80"/>
      <c r="B77" s="50"/>
      <c r="C77" s="143"/>
      <c r="D77" s="143"/>
      <c r="E77" s="5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80"/>
      <c r="B78" s="50"/>
      <c r="C78" s="143"/>
      <c r="D78" s="143"/>
      <c r="E78" s="5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80"/>
      <c r="B79" s="50"/>
      <c r="C79" s="143"/>
      <c r="D79" s="143"/>
      <c r="E79" s="5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80"/>
      <c r="B80" s="50"/>
      <c r="C80" s="143"/>
      <c r="D80" s="143"/>
      <c r="E80" s="5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80"/>
      <c r="B81" s="50"/>
      <c r="C81" s="143"/>
      <c r="D81" s="143"/>
      <c r="E81" s="5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80"/>
      <c r="B82" s="50"/>
      <c r="C82" s="143"/>
      <c r="D82" s="143"/>
      <c r="E82" s="5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80"/>
      <c r="B83" s="50"/>
      <c r="C83" s="143"/>
      <c r="D83" s="143"/>
      <c r="E83" s="5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80"/>
      <c r="B84" s="50"/>
      <c r="C84" s="143"/>
      <c r="D84" s="143"/>
      <c r="E84" s="5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80"/>
      <c r="B85" s="50"/>
      <c r="C85" s="143"/>
      <c r="D85" s="143"/>
      <c r="E85" s="5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80"/>
      <c r="B86" s="50"/>
      <c r="C86" s="143"/>
      <c r="D86" s="143"/>
      <c r="E86" s="5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80"/>
      <c r="B87" s="50"/>
      <c r="C87" s="143"/>
      <c r="D87" s="143"/>
      <c r="E87" s="5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80"/>
      <c r="B88" s="50"/>
      <c r="C88" s="143"/>
      <c r="D88" s="143"/>
      <c r="E88" s="5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80"/>
      <c r="B89" s="50"/>
      <c r="C89" s="143"/>
      <c r="D89" s="143"/>
      <c r="E89" s="5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80"/>
      <c r="B90" s="50"/>
      <c r="C90" s="143"/>
      <c r="D90" s="143"/>
      <c r="E90" s="5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80"/>
      <c r="B91" s="50"/>
      <c r="C91" s="143"/>
      <c r="D91" s="143"/>
      <c r="E91" s="5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80"/>
      <c r="B92" s="50"/>
      <c r="C92" s="143"/>
      <c r="D92" s="143"/>
      <c r="E92" s="5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80"/>
      <c r="B93" s="50"/>
      <c r="C93" s="143"/>
      <c r="D93" s="143"/>
      <c r="E93" s="5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80"/>
      <c r="B94" s="50"/>
      <c r="C94" s="143"/>
      <c r="D94" s="143"/>
      <c r="E94" s="5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80"/>
      <c r="B95" s="50"/>
      <c r="C95" s="143"/>
      <c r="D95" s="143"/>
      <c r="E95" s="5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80"/>
      <c r="B96" s="50"/>
      <c r="C96" s="143"/>
      <c r="D96" s="143"/>
      <c r="E96" s="5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80"/>
      <c r="B97" s="50"/>
      <c r="C97" s="143"/>
      <c r="D97" s="143"/>
      <c r="E97" s="5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80"/>
      <c r="B98" s="50"/>
      <c r="C98" s="143"/>
      <c r="D98" s="143"/>
      <c r="E98" s="5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80"/>
      <c r="B99" s="50"/>
      <c r="C99" s="143"/>
      <c r="D99" s="143"/>
      <c r="E99" s="5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80"/>
      <c r="B100" s="50"/>
      <c r="C100" s="143"/>
      <c r="D100" s="143"/>
      <c r="E100" s="5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80"/>
      <c r="B101" s="50"/>
      <c r="C101" s="143"/>
      <c r="D101" s="143"/>
      <c r="E101" s="5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80"/>
      <c r="B102" s="50"/>
      <c r="C102" s="143"/>
      <c r="D102" s="143"/>
      <c r="E102" s="5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80"/>
      <c r="B103" s="50"/>
      <c r="C103" s="143"/>
      <c r="D103" s="143"/>
      <c r="E103" s="5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80"/>
      <c r="B104" s="50"/>
      <c r="C104" s="143"/>
      <c r="D104" s="143"/>
      <c r="E104" s="5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80"/>
      <c r="B105" s="50"/>
      <c r="C105" s="143"/>
      <c r="D105" s="143"/>
      <c r="E105" s="5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80"/>
      <c r="B106" s="50"/>
      <c r="C106" s="143"/>
      <c r="D106" s="143"/>
      <c r="E106" s="5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80"/>
      <c r="B107" s="50"/>
      <c r="C107" s="143"/>
      <c r="D107" s="143"/>
      <c r="E107" s="5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80"/>
      <c r="B108" s="50"/>
      <c r="C108" s="143"/>
      <c r="D108" s="143"/>
      <c r="E108" s="5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80"/>
      <c r="B109" s="50"/>
      <c r="C109" s="143"/>
      <c r="D109" s="143"/>
      <c r="E109" s="5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80"/>
      <c r="B110" s="50"/>
      <c r="C110" s="143"/>
      <c r="D110" s="143"/>
      <c r="E110" s="5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80"/>
      <c r="B111" s="50"/>
      <c r="C111" s="143"/>
      <c r="D111" s="143"/>
      <c r="E111" s="5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80"/>
      <c r="B112" s="50"/>
      <c r="C112" s="143"/>
      <c r="D112" s="143"/>
      <c r="E112" s="5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80"/>
      <c r="B113" s="50"/>
      <c r="C113" s="143"/>
      <c r="D113" s="143"/>
      <c r="E113" s="5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80"/>
      <c r="B114" s="50"/>
      <c r="C114" s="143"/>
      <c r="D114" s="143"/>
      <c r="E114" s="5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80"/>
      <c r="B115" s="50"/>
      <c r="C115" s="143"/>
      <c r="D115" s="143"/>
      <c r="E115" s="5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80"/>
      <c r="B116" s="50"/>
      <c r="C116" s="143"/>
      <c r="D116" s="143"/>
      <c r="E116" s="5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80"/>
      <c r="B117" s="50"/>
      <c r="C117" s="143"/>
      <c r="D117" s="143"/>
      <c r="E117" s="5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80"/>
      <c r="B118" s="50"/>
      <c r="C118" s="143"/>
      <c r="D118" s="143"/>
      <c r="E118" s="5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80"/>
      <c r="B119" s="50"/>
      <c r="C119" s="143"/>
      <c r="D119" s="143"/>
      <c r="E119" s="5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80"/>
      <c r="B120" s="50"/>
      <c r="C120" s="143"/>
      <c r="D120" s="143"/>
      <c r="E120" s="5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80"/>
      <c r="B121" s="50"/>
      <c r="C121" s="143"/>
      <c r="D121" s="143"/>
      <c r="E121" s="5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80"/>
      <c r="B122" s="50"/>
      <c r="C122" s="143"/>
      <c r="D122" s="143"/>
      <c r="E122" s="5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80"/>
      <c r="B123" s="50"/>
      <c r="C123" s="143"/>
      <c r="D123" s="143"/>
      <c r="E123" s="5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80"/>
      <c r="B124" s="50"/>
      <c r="C124" s="143"/>
      <c r="D124" s="143"/>
      <c r="E124" s="5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80"/>
      <c r="B125" s="50"/>
      <c r="C125" s="143"/>
      <c r="D125" s="143"/>
      <c r="E125" s="5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80"/>
      <c r="B126" s="50"/>
      <c r="C126" s="143"/>
      <c r="D126" s="143"/>
      <c r="E126" s="5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80"/>
      <c r="B127" s="50"/>
      <c r="C127" s="143"/>
      <c r="D127" s="143"/>
      <c r="E127" s="5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80"/>
      <c r="B128" s="50"/>
      <c r="C128" s="143"/>
      <c r="D128" s="143"/>
      <c r="E128" s="5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80"/>
      <c r="B129" s="50"/>
      <c r="C129" s="143"/>
      <c r="D129" s="143"/>
      <c r="E129" s="5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80"/>
      <c r="B130" s="50"/>
      <c r="C130" s="143"/>
      <c r="D130" s="143"/>
      <c r="E130" s="5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80"/>
      <c r="B131" s="50"/>
      <c r="C131" s="143"/>
      <c r="D131" s="143"/>
      <c r="E131" s="5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80"/>
      <c r="B132" s="50"/>
      <c r="C132" s="143"/>
      <c r="D132" s="143"/>
      <c r="E132" s="5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80"/>
      <c r="B133" s="50"/>
      <c r="C133" s="143"/>
      <c r="D133" s="143"/>
      <c r="E133" s="5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80"/>
      <c r="B134" s="50"/>
      <c r="C134" s="143"/>
      <c r="D134" s="143"/>
      <c r="E134" s="5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80"/>
      <c r="B135" s="50"/>
      <c r="C135" s="143"/>
      <c r="D135" s="143"/>
      <c r="E135" s="5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80"/>
      <c r="B136" s="50"/>
      <c r="C136" s="143"/>
      <c r="D136" s="143"/>
      <c r="E136" s="5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80"/>
      <c r="B137" s="50"/>
      <c r="C137" s="143"/>
      <c r="D137" s="143"/>
      <c r="E137" s="5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80"/>
      <c r="B138" s="50"/>
      <c r="C138" s="143"/>
      <c r="D138" s="143"/>
      <c r="E138" s="5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80"/>
      <c r="B139" s="50"/>
      <c r="C139" s="143"/>
      <c r="D139" s="143"/>
      <c r="E139" s="5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80"/>
      <c r="B140" s="50"/>
      <c r="C140" s="143"/>
      <c r="D140" s="143"/>
      <c r="E140" s="5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80"/>
      <c r="B141" s="50"/>
      <c r="C141" s="143"/>
      <c r="D141" s="143"/>
      <c r="E141" s="5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80"/>
      <c r="B142" s="50"/>
      <c r="C142" s="143"/>
      <c r="D142" s="143"/>
      <c r="E142" s="5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80"/>
      <c r="B143" s="50"/>
      <c r="C143" s="143"/>
      <c r="D143" s="143"/>
      <c r="E143" s="5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80"/>
      <c r="B144" s="50"/>
      <c r="C144" s="143"/>
      <c r="D144" s="143"/>
      <c r="E144" s="5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80"/>
      <c r="B145" s="50"/>
      <c r="C145" s="143"/>
      <c r="D145" s="143"/>
      <c r="E145" s="5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80"/>
      <c r="B146" s="50"/>
      <c r="C146" s="143"/>
      <c r="D146" s="143"/>
      <c r="E146" s="5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80"/>
      <c r="B147" s="50"/>
      <c r="C147" s="143"/>
      <c r="D147" s="143"/>
      <c r="E147" s="5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80"/>
      <c r="B148" s="50"/>
      <c r="C148" s="143"/>
      <c r="D148" s="143"/>
      <c r="E148" s="5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80"/>
      <c r="B149" s="50"/>
      <c r="C149" s="143"/>
      <c r="D149" s="143"/>
      <c r="E149" s="5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80"/>
      <c r="B150" s="50"/>
      <c r="C150" s="143"/>
      <c r="D150" s="143"/>
      <c r="E150" s="5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80"/>
      <c r="B151" s="50"/>
      <c r="C151" s="143"/>
      <c r="D151" s="143"/>
      <c r="E151" s="5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80"/>
      <c r="B152" s="50"/>
      <c r="C152" s="143"/>
      <c r="D152" s="143"/>
      <c r="E152" s="5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80"/>
      <c r="B153" s="50"/>
      <c r="C153" s="143"/>
      <c r="D153" s="143"/>
      <c r="E153" s="5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80"/>
      <c r="B154" s="50"/>
      <c r="C154" s="143"/>
      <c r="D154" s="143"/>
      <c r="E154" s="5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80"/>
      <c r="B155" s="50"/>
      <c r="C155" s="143"/>
      <c r="D155" s="143"/>
      <c r="E155" s="5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80"/>
      <c r="B156" s="50"/>
      <c r="C156" s="143"/>
      <c r="D156" s="143"/>
      <c r="E156" s="5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80"/>
      <c r="B157" s="50"/>
      <c r="C157" s="143"/>
      <c r="D157" s="143"/>
      <c r="E157" s="5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80"/>
      <c r="B158" s="50"/>
      <c r="C158" s="143"/>
      <c r="D158" s="143"/>
      <c r="E158" s="5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80"/>
      <c r="B159" s="50"/>
      <c r="C159" s="143"/>
      <c r="D159" s="143"/>
      <c r="E159" s="5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80"/>
      <c r="B160" s="50"/>
      <c r="C160" s="143"/>
      <c r="D160" s="143"/>
      <c r="E160" s="5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80"/>
      <c r="B161" s="50"/>
      <c r="C161" s="143"/>
      <c r="D161" s="143"/>
      <c r="E161" s="5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80"/>
      <c r="B162" s="50"/>
      <c r="C162" s="143"/>
      <c r="D162" s="143"/>
      <c r="E162" s="5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80"/>
      <c r="B163" s="50"/>
      <c r="C163" s="143"/>
      <c r="D163" s="143"/>
      <c r="E163" s="5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80"/>
      <c r="B164" s="50"/>
      <c r="C164" s="143"/>
      <c r="D164" s="143"/>
      <c r="E164" s="5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80"/>
      <c r="B165" s="50"/>
      <c r="C165" s="143"/>
      <c r="D165" s="143"/>
      <c r="E165" s="5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80"/>
      <c r="B166" s="50"/>
      <c r="C166" s="143"/>
      <c r="D166" s="143"/>
      <c r="E166" s="5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80"/>
      <c r="B167" s="50"/>
      <c r="C167" s="143"/>
      <c r="D167" s="143"/>
      <c r="E167" s="5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80"/>
      <c r="B168" s="50"/>
      <c r="C168" s="143"/>
      <c r="D168" s="143"/>
      <c r="E168" s="5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80"/>
      <c r="B169" s="50"/>
      <c r="C169" s="143"/>
      <c r="D169" s="143"/>
      <c r="E169" s="5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80"/>
      <c r="B170" s="50"/>
      <c r="C170" s="143"/>
      <c r="D170" s="143"/>
      <c r="E170" s="5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80"/>
      <c r="B171" s="50"/>
      <c r="C171" s="143"/>
      <c r="D171" s="143"/>
      <c r="E171" s="5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80"/>
      <c r="B172" s="50"/>
      <c r="C172" s="143"/>
      <c r="D172" s="143"/>
      <c r="E172" s="5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80"/>
      <c r="B173" s="50"/>
      <c r="C173" s="143"/>
      <c r="D173" s="143"/>
      <c r="E173" s="5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80"/>
      <c r="B174" s="50"/>
      <c r="C174" s="143"/>
      <c r="D174" s="143"/>
      <c r="E174" s="5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80"/>
      <c r="B175" s="50"/>
      <c r="C175" s="143"/>
      <c r="D175" s="143"/>
      <c r="E175" s="5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80"/>
      <c r="B176" s="50"/>
      <c r="C176" s="143"/>
      <c r="D176" s="143"/>
      <c r="E176" s="5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80"/>
      <c r="B177" s="50"/>
      <c r="C177" s="143"/>
      <c r="D177" s="143"/>
      <c r="E177" s="5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80"/>
      <c r="B178" s="50"/>
      <c r="C178" s="143"/>
      <c r="D178" s="143"/>
      <c r="E178" s="5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80"/>
      <c r="B179" s="50"/>
      <c r="C179" s="143"/>
      <c r="D179" s="143"/>
      <c r="E179" s="5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80"/>
      <c r="B180" s="50"/>
      <c r="C180" s="143"/>
      <c r="D180" s="143"/>
      <c r="E180" s="5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80"/>
      <c r="B181" s="50"/>
      <c r="C181" s="143"/>
      <c r="D181" s="143"/>
      <c r="E181" s="5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80"/>
      <c r="B182" s="50"/>
      <c r="C182" s="143"/>
      <c r="D182" s="143"/>
      <c r="E182" s="5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80"/>
      <c r="B183" s="50"/>
      <c r="C183" s="143"/>
      <c r="D183" s="143"/>
      <c r="E183" s="5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80"/>
      <c r="B184" s="50"/>
      <c r="C184" s="143"/>
      <c r="D184" s="143"/>
      <c r="E184" s="5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80"/>
      <c r="B185" s="50"/>
      <c r="C185" s="143"/>
      <c r="D185" s="143"/>
      <c r="E185" s="5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80"/>
      <c r="B186" s="50"/>
      <c r="C186" s="143"/>
      <c r="D186" s="143"/>
      <c r="E186" s="5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80"/>
      <c r="B187" s="50"/>
      <c r="C187" s="143"/>
      <c r="D187" s="143"/>
      <c r="E187" s="5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80"/>
      <c r="B188" s="50"/>
      <c r="C188" s="143"/>
      <c r="D188" s="143"/>
      <c r="E188" s="5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80"/>
      <c r="B189" s="50"/>
      <c r="C189" s="143"/>
      <c r="D189" s="143"/>
      <c r="E189" s="5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80"/>
      <c r="B190" s="50"/>
      <c r="C190" s="143"/>
      <c r="D190" s="143"/>
      <c r="E190" s="5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80"/>
      <c r="B191" s="50"/>
      <c r="C191" s="143"/>
      <c r="D191" s="143"/>
      <c r="E191" s="5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80"/>
      <c r="B192" s="50"/>
      <c r="C192" s="143"/>
      <c r="D192" s="143"/>
      <c r="E192" s="5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80"/>
      <c r="B193" s="50"/>
      <c r="C193" s="143"/>
      <c r="D193" s="143"/>
      <c r="E193" s="5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80"/>
      <c r="B194" s="50"/>
      <c r="C194" s="143"/>
      <c r="D194" s="143"/>
      <c r="E194" s="5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80"/>
      <c r="B195" s="50"/>
      <c r="C195" s="143"/>
      <c r="D195" s="143"/>
      <c r="E195" s="5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80"/>
      <c r="B196" s="50"/>
      <c r="C196" s="143"/>
      <c r="D196" s="143"/>
      <c r="E196" s="5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80"/>
      <c r="B197" s="50"/>
      <c r="C197" s="143"/>
      <c r="D197" s="143"/>
      <c r="E197" s="5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80"/>
      <c r="B198" s="50"/>
      <c r="C198" s="143"/>
      <c r="D198" s="143"/>
      <c r="E198" s="5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80"/>
      <c r="B199" s="50"/>
      <c r="C199" s="143"/>
      <c r="D199" s="143"/>
      <c r="E199" s="5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80"/>
      <c r="B200" s="50"/>
      <c r="C200" s="143"/>
      <c r="D200" s="143"/>
      <c r="E200" s="5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80"/>
      <c r="B201" s="50"/>
      <c r="C201" s="143"/>
      <c r="D201" s="143"/>
      <c r="E201" s="5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80"/>
      <c r="B202" s="50"/>
      <c r="C202" s="143"/>
      <c r="D202" s="143"/>
      <c r="E202" s="5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80"/>
      <c r="B203" s="50"/>
      <c r="C203" s="143"/>
      <c r="D203" s="143"/>
      <c r="E203" s="5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80"/>
      <c r="B204" s="50"/>
      <c r="C204" s="143"/>
      <c r="D204" s="143"/>
      <c r="E204" s="5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80"/>
      <c r="B205" s="50"/>
      <c r="C205" s="143"/>
      <c r="D205" s="143"/>
      <c r="E205" s="5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80"/>
      <c r="B206" s="50"/>
      <c r="C206" s="143"/>
      <c r="D206" s="143"/>
      <c r="E206" s="5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80"/>
      <c r="B207" s="50"/>
      <c r="C207" s="143"/>
      <c r="D207" s="143"/>
      <c r="E207" s="5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80"/>
      <c r="B208" s="50"/>
      <c r="C208" s="143"/>
      <c r="D208" s="143"/>
      <c r="E208" s="5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80"/>
      <c r="B209" s="50"/>
      <c r="C209" s="143"/>
      <c r="D209" s="143"/>
      <c r="E209" s="5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80"/>
      <c r="B210" s="50"/>
      <c r="C210" s="143"/>
      <c r="D210" s="143"/>
      <c r="E210" s="5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80"/>
      <c r="B211" s="50"/>
      <c r="C211" s="143"/>
      <c r="D211" s="143"/>
      <c r="E211" s="5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80"/>
      <c r="B212" s="50"/>
      <c r="C212" s="143"/>
      <c r="D212" s="143"/>
      <c r="E212" s="5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80"/>
      <c r="B213" s="50"/>
      <c r="C213" s="143"/>
      <c r="D213" s="143"/>
      <c r="E213" s="5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80"/>
      <c r="B214" s="50"/>
      <c r="C214" s="143"/>
      <c r="D214" s="143"/>
      <c r="E214" s="5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80"/>
      <c r="B215" s="50"/>
      <c r="C215" s="143"/>
      <c r="D215" s="143"/>
      <c r="E215" s="5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80"/>
      <c r="B216" s="50"/>
      <c r="C216" s="143"/>
      <c r="D216" s="143"/>
      <c r="E216" s="5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80"/>
      <c r="B217" s="50"/>
      <c r="C217" s="143"/>
      <c r="D217" s="143"/>
      <c r="E217" s="5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80"/>
      <c r="B218" s="50"/>
      <c r="C218" s="143"/>
      <c r="D218" s="143"/>
      <c r="E218" s="5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80"/>
      <c r="B219" s="50"/>
      <c r="C219" s="143"/>
      <c r="D219" s="143"/>
      <c r="E219" s="5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80"/>
      <c r="B220" s="50"/>
      <c r="C220" s="143"/>
      <c r="D220" s="143"/>
      <c r="E220" s="5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80"/>
      <c r="B221" s="50"/>
      <c r="C221" s="143"/>
      <c r="D221" s="143"/>
      <c r="E221" s="5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80"/>
      <c r="B222" s="50"/>
      <c r="C222" s="143"/>
      <c r="D222" s="143"/>
      <c r="E222" s="5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80"/>
      <c r="B223" s="50"/>
      <c r="C223" s="143"/>
      <c r="D223" s="143"/>
      <c r="E223" s="5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80"/>
      <c r="B224" s="50"/>
      <c r="C224" s="143"/>
      <c r="D224" s="143"/>
      <c r="E224" s="5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80"/>
      <c r="B225" s="50"/>
      <c r="C225" s="143"/>
      <c r="D225" s="143"/>
      <c r="E225" s="5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80"/>
      <c r="B226" s="50"/>
      <c r="C226" s="143"/>
      <c r="D226" s="143"/>
      <c r="E226" s="5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80"/>
      <c r="B227" s="50"/>
      <c r="C227" s="143"/>
      <c r="D227" s="143"/>
      <c r="E227" s="5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80"/>
      <c r="B228" s="50"/>
      <c r="C228" s="143"/>
      <c r="D228" s="143"/>
      <c r="E228" s="5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80"/>
      <c r="B229" s="50"/>
      <c r="C229" s="143"/>
      <c r="D229" s="143"/>
      <c r="E229" s="5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80"/>
      <c r="B230" s="50"/>
      <c r="C230" s="143"/>
      <c r="D230" s="143"/>
      <c r="E230" s="5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80"/>
      <c r="B231" s="50"/>
      <c r="C231" s="143"/>
      <c r="D231" s="143"/>
      <c r="E231" s="5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80"/>
      <c r="B232" s="50"/>
      <c r="C232" s="143"/>
      <c r="D232" s="143"/>
      <c r="E232" s="5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80"/>
      <c r="B233" s="50"/>
      <c r="C233" s="143"/>
      <c r="D233" s="143"/>
      <c r="E233" s="5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80"/>
      <c r="B234" s="50"/>
      <c r="C234" s="143"/>
      <c r="D234" s="143"/>
      <c r="E234" s="5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80"/>
      <c r="B235" s="50"/>
      <c r="C235" s="143"/>
      <c r="D235" s="143"/>
      <c r="E235" s="5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80"/>
      <c r="B236" s="50"/>
      <c r="C236" s="143"/>
      <c r="D236" s="143"/>
      <c r="E236" s="5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80"/>
      <c r="B237" s="50"/>
      <c r="C237" s="143"/>
      <c r="D237" s="143"/>
      <c r="E237" s="5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80"/>
      <c r="B238" s="50"/>
      <c r="C238" s="143"/>
      <c r="D238" s="143"/>
      <c r="E238" s="5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80"/>
      <c r="B239" s="50"/>
      <c r="C239" s="143"/>
      <c r="D239" s="143"/>
      <c r="E239" s="5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80"/>
      <c r="B240" s="50"/>
      <c r="C240" s="143"/>
      <c r="D240" s="143"/>
      <c r="E240" s="5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80"/>
      <c r="B241" s="50"/>
      <c r="C241" s="143"/>
      <c r="D241" s="143"/>
      <c r="E241" s="5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80"/>
      <c r="B242" s="50"/>
      <c r="C242" s="143"/>
      <c r="D242" s="143"/>
      <c r="E242" s="5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80"/>
      <c r="B243" s="50"/>
      <c r="C243" s="143"/>
      <c r="D243" s="143"/>
      <c r="E243" s="5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80"/>
      <c r="B244" s="50"/>
      <c r="C244" s="143"/>
      <c r="D244" s="143"/>
      <c r="E244" s="5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80"/>
      <c r="B245" s="50"/>
      <c r="C245" s="143"/>
      <c r="D245" s="143"/>
      <c r="E245" s="5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80"/>
      <c r="B246" s="50"/>
      <c r="C246" s="143"/>
      <c r="D246" s="143"/>
      <c r="E246" s="5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80"/>
      <c r="B247" s="50"/>
      <c r="C247" s="143"/>
      <c r="D247" s="143"/>
      <c r="E247" s="5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80"/>
      <c r="B248" s="50"/>
      <c r="C248" s="143"/>
      <c r="D248" s="143"/>
      <c r="E248" s="5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80"/>
      <c r="B249" s="50"/>
      <c r="C249" s="143"/>
      <c r="D249" s="143"/>
      <c r="E249" s="5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80"/>
      <c r="B250" s="50"/>
      <c r="C250" s="143"/>
      <c r="D250" s="143"/>
      <c r="E250" s="5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80"/>
      <c r="B251" s="50"/>
      <c r="C251" s="143"/>
      <c r="D251" s="143"/>
      <c r="E251" s="5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80"/>
      <c r="B252" s="50"/>
      <c r="C252" s="143"/>
      <c r="D252" s="143"/>
      <c r="E252" s="5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80"/>
      <c r="B253" s="50"/>
      <c r="C253" s="143"/>
      <c r="D253" s="143"/>
      <c r="E253" s="5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80"/>
      <c r="B254" s="50"/>
      <c r="C254" s="143"/>
      <c r="D254" s="143"/>
      <c r="E254" s="5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80"/>
      <c r="B255" s="50"/>
      <c r="C255" s="143"/>
      <c r="D255" s="143"/>
      <c r="E255" s="5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80"/>
      <c r="B256" s="50"/>
      <c r="C256" s="143"/>
      <c r="D256" s="143"/>
      <c r="E256" s="5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80"/>
      <c r="B257" s="50"/>
      <c r="C257" s="143"/>
      <c r="D257" s="143"/>
      <c r="E257" s="5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80"/>
      <c r="B258" s="50"/>
      <c r="C258" s="143"/>
      <c r="D258" s="143"/>
      <c r="E258" s="5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8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8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31"/>
    </row>
    <row r="262" spans="1:26" ht="15.75" customHeight="1">
      <c r="A262" s="331"/>
    </row>
    <row r="263" spans="1:26" ht="15.75" customHeight="1">
      <c r="A263" s="331"/>
    </row>
    <row r="264" spans="1:26" ht="15.75" customHeight="1">
      <c r="A264" s="331"/>
    </row>
    <row r="265" spans="1:26" ht="15.75" customHeight="1">
      <c r="A265" s="331"/>
    </row>
    <row r="266" spans="1:26" ht="15.75" customHeight="1">
      <c r="A266" s="331"/>
    </row>
    <row r="267" spans="1:26" ht="15.75" customHeight="1">
      <c r="A267" s="331"/>
    </row>
    <row r="268" spans="1:26" ht="15.75" customHeight="1">
      <c r="A268" s="331"/>
    </row>
    <row r="269" spans="1:26" ht="15.75" customHeight="1">
      <c r="A269" s="331"/>
    </row>
    <row r="270" spans="1:26" ht="15.75" customHeight="1">
      <c r="A270" s="331"/>
    </row>
    <row r="271" spans="1:26" ht="15.75" customHeight="1">
      <c r="A271" s="331"/>
    </row>
    <row r="272" spans="1:26" ht="15.75" customHeight="1">
      <c r="A272" s="331"/>
    </row>
    <row r="273" spans="1:1" ht="15.75" customHeight="1">
      <c r="A273" s="331"/>
    </row>
    <row r="274" spans="1:1" ht="15.75" customHeight="1">
      <c r="A274" s="331"/>
    </row>
    <row r="275" spans="1:1" ht="15.75" customHeight="1">
      <c r="A275" s="331"/>
    </row>
    <row r="276" spans="1:1" ht="15.75" customHeight="1">
      <c r="A276" s="331"/>
    </row>
    <row r="277" spans="1:1" ht="15.75" customHeight="1">
      <c r="A277" s="331"/>
    </row>
    <row r="278" spans="1:1" ht="15.75" customHeight="1">
      <c r="A278" s="331"/>
    </row>
    <row r="279" spans="1:1" ht="15.75" customHeight="1">
      <c r="A279" s="331"/>
    </row>
    <row r="280" spans="1:1" ht="15.75" customHeight="1">
      <c r="A280" s="331"/>
    </row>
    <row r="281" spans="1:1" ht="15.75" customHeight="1">
      <c r="A281" s="331"/>
    </row>
    <row r="282" spans="1:1" ht="15.75" customHeight="1">
      <c r="A282" s="331"/>
    </row>
    <row r="283" spans="1:1" ht="15.75" customHeight="1">
      <c r="A283" s="331"/>
    </row>
    <row r="284" spans="1:1" ht="15.75" customHeight="1">
      <c r="A284" s="331"/>
    </row>
    <row r="285" spans="1:1" ht="15.75" customHeight="1">
      <c r="A285" s="331"/>
    </row>
    <row r="286" spans="1:1" ht="15.75" customHeight="1">
      <c r="A286" s="331"/>
    </row>
    <row r="287" spans="1:1" ht="15.75" customHeight="1">
      <c r="A287" s="331"/>
    </row>
    <row r="288" spans="1:1" ht="15.75" customHeight="1">
      <c r="A288" s="331"/>
    </row>
    <row r="289" spans="1:1" ht="15.75" customHeight="1">
      <c r="A289" s="331"/>
    </row>
    <row r="290" spans="1:1" ht="15.75" customHeight="1">
      <c r="A290" s="331"/>
    </row>
    <row r="291" spans="1:1" ht="15.75" customHeight="1">
      <c r="A291" s="331"/>
    </row>
    <row r="292" spans="1:1" ht="15.75" customHeight="1">
      <c r="A292" s="331"/>
    </row>
    <row r="293" spans="1:1" ht="15.75" customHeight="1">
      <c r="A293" s="331"/>
    </row>
    <row r="294" spans="1:1" ht="15.75" customHeight="1">
      <c r="A294" s="331"/>
    </row>
    <row r="295" spans="1:1" ht="15.75" customHeight="1">
      <c r="A295" s="331"/>
    </row>
    <row r="296" spans="1:1" ht="15.75" customHeight="1">
      <c r="A296" s="331"/>
    </row>
    <row r="297" spans="1:1" ht="15.75" customHeight="1">
      <c r="A297" s="331"/>
    </row>
    <row r="298" spans="1:1" ht="15.75" customHeight="1">
      <c r="A298" s="331"/>
    </row>
    <row r="299" spans="1:1" ht="15.75" customHeight="1">
      <c r="A299" s="331"/>
    </row>
    <row r="300" spans="1:1" ht="15.75" customHeight="1">
      <c r="A300" s="331"/>
    </row>
    <row r="301" spans="1:1" ht="15.75" customHeight="1">
      <c r="A301" s="331"/>
    </row>
    <row r="302" spans="1:1" ht="15.75" customHeight="1">
      <c r="A302" s="331"/>
    </row>
    <row r="303" spans="1:1" ht="15.75" customHeight="1">
      <c r="A303" s="331"/>
    </row>
    <row r="304" spans="1:1" ht="15.75" customHeight="1">
      <c r="A304" s="331"/>
    </row>
    <row r="305" spans="1:1" ht="15.75" customHeight="1">
      <c r="A305" s="331"/>
    </row>
    <row r="306" spans="1:1" ht="15.75" customHeight="1">
      <c r="A306" s="331"/>
    </row>
    <row r="307" spans="1:1" ht="15.75" customHeight="1">
      <c r="A307" s="331"/>
    </row>
    <row r="308" spans="1:1" ht="15.75" customHeight="1">
      <c r="A308" s="331"/>
    </row>
    <row r="309" spans="1:1" ht="15.75" customHeight="1">
      <c r="A309" s="331"/>
    </row>
    <row r="310" spans="1:1" ht="15.75" customHeight="1">
      <c r="A310" s="331"/>
    </row>
    <row r="311" spans="1:1" ht="15.75" customHeight="1">
      <c r="A311" s="331"/>
    </row>
    <row r="312" spans="1:1" ht="15.75" customHeight="1">
      <c r="A312" s="331"/>
    </row>
    <row r="313" spans="1:1" ht="15.75" customHeight="1">
      <c r="A313" s="331"/>
    </row>
    <row r="314" spans="1:1" ht="15.75" customHeight="1">
      <c r="A314" s="331"/>
    </row>
    <row r="315" spans="1:1" ht="15.75" customHeight="1">
      <c r="A315" s="331"/>
    </row>
    <row r="316" spans="1:1" ht="15.75" customHeight="1">
      <c r="A316" s="331"/>
    </row>
    <row r="317" spans="1:1" ht="15.75" customHeight="1">
      <c r="A317" s="331"/>
    </row>
    <row r="318" spans="1:1" ht="15.75" customHeight="1">
      <c r="A318" s="331"/>
    </row>
    <row r="319" spans="1:1" ht="15.75" customHeight="1">
      <c r="A319" s="331"/>
    </row>
    <row r="320" spans="1:1" ht="15.75" customHeight="1">
      <c r="A320" s="331"/>
    </row>
    <row r="321" spans="1:1" ht="15.75" customHeight="1">
      <c r="A321" s="331"/>
    </row>
    <row r="322" spans="1:1" ht="15.75" customHeight="1">
      <c r="A322" s="331"/>
    </row>
    <row r="323" spans="1:1" ht="15.75" customHeight="1">
      <c r="A323" s="331"/>
    </row>
    <row r="324" spans="1:1" ht="15.75" customHeight="1">
      <c r="A324" s="331"/>
    </row>
    <row r="325" spans="1:1" ht="15.75" customHeight="1">
      <c r="A325" s="331"/>
    </row>
    <row r="326" spans="1:1" ht="15.75" customHeight="1">
      <c r="A326" s="331"/>
    </row>
    <row r="327" spans="1:1" ht="15.75" customHeight="1">
      <c r="A327" s="331"/>
    </row>
    <row r="328" spans="1:1" ht="15.75" customHeight="1">
      <c r="A328" s="331"/>
    </row>
    <row r="329" spans="1:1" ht="15.75" customHeight="1">
      <c r="A329" s="331"/>
    </row>
    <row r="330" spans="1:1" ht="15.75" customHeight="1">
      <c r="A330" s="331"/>
    </row>
    <row r="331" spans="1:1" ht="15.75" customHeight="1">
      <c r="A331" s="331"/>
    </row>
    <row r="332" spans="1:1" ht="15.75" customHeight="1">
      <c r="A332" s="331"/>
    </row>
    <row r="333" spans="1:1" ht="15.75" customHeight="1">
      <c r="A333" s="331"/>
    </row>
    <row r="334" spans="1:1" ht="15.75" customHeight="1">
      <c r="A334" s="331"/>
    </row>
    <row r="335" spans="1:1" ht="15.75" customHeight="1">
      <c r="A335" s="331"/>
    </row>
    <row r="336" spans="1:1" ht="15.75" customHeight="1">
      <c r="A336" s="331"/>
    </row>
    <row r="337" spans="1:1" ht="15.75" customHeight="1">
      <c r="A337" s="331"/>
    </row>
    <row r="338" spans="1:1" ht="15.75" customHeight="1">
      <c r="A338" s="331"/>
    </row>
    <row r="339" spans="1:1" ht="15.75" customHeight="1">
      <c r="A339" s="331"/>
    </row>
    <row r="340" spans="1:1" ht="15.75" customHeight="1">
      <c r="A340" s="331"/>
    </row>
    <row r="341" spans="1:1" ht="15.75" customHeight="1">
      <c r="A341" s="331"/>
    </row>
    <row r="342" spans="1:1" ht="15.75" customHeight="1">
      <c r="A342" s="331"/>
    </row>
    <row r="343" spans="1:1" ht="15.75" customHeight="1">
      <c r="A343" s="331"/>
    </row>
    <row r="344" spans="1:1" ht="15.75" customHeight="1">
      <c r="A344" s="331"/>
    </row>
    <row r="345" spans="1:1" ht="15.75" customHeight="1">
      <c r="A345" s="331"/>
    </row>
    <row r="346" spans="1:1" ht="15.75" customHeight="1">
      <c r="A346" s="331"/>
    </row>
    <row r="347" spans="1:1" ht="15.75" customHeight="1">
      <c r="A347" s="331"/>
    </row>
    <row r="348" spans="1:1" ht="15.75" customHeight="1">
      <c r="A348" s="331"/>
    </row>
    <row r="349" spans="1:1" ht="15.75" customHeight="1">
      <c r="A349" s="331"/>
    </row>
    <row r="350" spans="1:1" ht="15.75" customHeight="1">
      <c r="A350" s="331"/>
    </row>
    <row r="351" spans="1:1" ht="15.75" customHeight="1">
      <c r="A351" s="331"/>
    </row>
    <row r="352" spans="1:1" ht="15.75" customHeight="1">
      <c r="A352" s="331"/>
    </row>
    <row r="353" spans="1:1" ht="15.75" customHeight="1">
      <c r="A353" s="331"/>
    </row>
    <row r="354" spans="1:1" ht="15.75" customHeight="1">
      <c r="A354" s="331"/>
    </row>
    <row r="355" spans="1:1" ht="15.75" customHeight="1">
      <c r="A355" s="331"/>
    </row>
    <row r="356" spans="1:1" ht="15.75" customHeight="1">
      <c r="A356" s="331"/>
    </row>
    <row r="357" spans="1:1" ht="15.75" customHeight="1">
      <c r="A357" s="331"/>
    </row>
    <row r="358" spans="1:1" ht="15.75" customHeight="1">
      <c r="A358" s="331"/>
    </row>
    <row r="359" spans="1:1" ht="15.75" customHeight="1">
      <c r="A359" s="331"/>
    </row>
    <row r="360" spans="1:1" ht="15.75" customHeight="1">
      <c r="A360" s="331"/>
    </row>
    <row r="361" spans="1:1" ht="15.75" customHeight="1">
      <c r="A361" s="331"/>
    </row>
    <row r="362" spans="1:1" ht="15.75" customHeight="1">
      <c r="A362" s="331"/>
    </row>
    <row r="363" spans="1:1" ht="15.75" customHeight="1">
      <c r="A363" s="331"/>
    </row>
    <row r="364" spans="1:1" ht="15.75" customHeight="1">
      <c r="A364" s="331"/>
    </row>
    <row r="365" spans="1:1" ht="15.75" customHeight="1">
      <c r="A365" s="331"/>
    </row>
    <row r="366" spans="1:1" ht="15.75" customHeight="1">
      <c r="A366" s="331"/>
    </row>
    <row r="367" spans="1:1" ht="15.75" customHeight="1">
      <c r="A367" s="331"/>
    </row>
    <row r="368" spans="1:1" ht="15.75" customHeight="1">
      <c r="A368" s="331"/>
    </row>
    <row r="369" spans="1:1" ht="15.75" customHeight="1">
      <c r="A369" s="331"/>
    </row>
    <row r="370" spans="1:1" ht="15.75" customHeight="1">
      <c r="A370" s="331"/>
    </row>
    <row r="371" spans="1:1" ht="15.75" customHeight="1">
      <c r="A371" s="331"/>
    </row>
    <row r="372" spans="1:1" ht="15.75" customHeight="1">
      <c r="A372" s="331"/>
    </row>
    <row r="373" spans="1:1" ht="15.75" customHeight="1">
      <c r="A373" s="331"/>
    </row>
    <row r="374" spans="1:1" ht="15.75" customHeight="1">
      <c r="A374" s="331"/>
    </row>
    <row r="375" spans="1:1" ht="15.75" customHeight="1">
      <c r="A375" s="331"/>
    </row>
    <row r="376" spans="1:1" ht="15.75" customHeight="1">
      <c r="A376" s="331"/>
    </row>
    <row r="377" spans="1:1" ht="15.75" customHeight="1">
      <c r="A377" s="331"/>
    </row>
    <row r="378" spans="1:1" ht="15.75" customHeight="1">
      <c r="A378" s="331"/>
    </row>
    <row r="379" spans="1:1" ht="15.75" customHeight="1">
      <c r="A379" s="331"/>
    </row>
    <row r="380" spans="1:1" ht="15.75" customHeight="1">
      <c r="A380" s="331"/>
    </row>
    <row r="381" spans="1:1" ht="15.75" customHeight="1">
      <c r="A381" s="331"/>
    </row>
    <row r="382" spans="1:1" ht="15.75" customHeight="1">
      <c r="A382" s="331"/>
    </row>
    <row r="383" spans="1:1" ht="15.75" customHeight="1">
      <c r="A383" s="331"/>
    </row>
    <row r="384" spans="1:1" ht="15.75" customHeight="1">
      <c r="A384" s="331"/>
    </row>
    <row r="385" spans="1:1" ht="15.75" customHeight="1">
      <c r="A385" s="331"/>
    </row>
    <row r="386" spans="1:1" ht="15.75" customHeight="1">
      <c r="A386" s="331"/>
    </row>
    <row r="387" spans="1:1" ht="15.75" customHeight="1">
      <c r="A387" s="331"/>
    </row>
    <row r="388" spans="1:1" ht="15.75" customHeight="1">
      <c r="A388" s="331"/>
    </row>
    <row r="389" spans="1:1" ht="15.75" customHeight="1">
      <c r="A389" s="331"/>
    </row>
    <row r="390" spans="1:1" ht="15.75" customHeight="1">
      <c r="A390" s="331"/>
    </row>
    <row r="391" spans="1:1" ht="15.75" customHeight="1">
      <c r="A391" s="331"/>
    </row>
    <row r="392" spans="1:1" ht="15.75" customHeight="1">
      <c r="A392" s="331"/>
    </row>
    <row r="393" spans="1:1" ht="15.75" customHeight="1">
      <c r="A393" s="331"/>
    </row>
    <row r="394" spans="1:1" ht="15.75" customHeight="1">
      <c r="A394" s="331"/>
    </row>
    <row r="395" spans="1:1" ht="15.75" customHeight="1">
      <c r="A395" s="331"/>
    </row>
    <row r="396" spans="1:1" ht="15.75" customHeight="1">
      <c r="A396" s="331"/>
    </row>
    <row r="397" spans="1:1" ht="15.75" customHeight="1">
      <c r="A397" s="331"/>
    </row>
    <row r="398" spans="1:1" ht="15.75" customHeight="1">
      <c r="A398" s="331"/>
    </row>
    <row r="399" spans="1:1" ht="15.75" customHeight="1">
      <c r="A399" s="331"/>
    </row>
    <row r="400" spans="1:1" ht="15.75" customHeight="1">
      <c r="A400" s="331"/>
    </row>
    <row r="401" spans="1:1" ht="15.75" customHeight="1">
      <c r="A401" s="331"/>
    </row>
    <row r="402" spans="1:1" ht="15.75" customHeight="1">
      <c r="A402" s="331"/>
    </row>
    <row r="403" spans="1:1" ht="15.75" customHeight="1">
      <c r="A403" s="331"/>
    </row>
    <row r="404" spans="1:1" ht="15.75" customHeight="1">
      <c r="A404" s="331"/>
    </row>
    <row r="405" spans="1:1" ht="15.75" customHeight="1">
      <c r="A405" s="331"/>
    </row>
    <row r="406" spans="1:1" ht="15.75" customHeight="1">
      <c r="A406" s="331"/>
    </row>
    <row r="407" spans="1:1" ht="15.75" customHeight="1">
      <c r="A407" s="331"/>
    </row>
    <row r="408" spans="1:1" ht="15.75" customHeight="1">
      <c r="A408" s="331"/>
    </row>
    <row r="409" spans="1:1" ht="15.75" customHeight="1">
      <c r="A409" s="331"/>
    </row>
    <row r="410" spans="1:1" ht="15.75" customHeight="1">
      <c r="A410" s="331"/>
    </row>
    <row r="411" spans="1:1" ht="15.75" customHeight="1">
      <c r="A411" s="331"/>
    </row>
    <row r="412" spans="1:1" ht="15.75" customHeight="1">
      <c r="A412" s="331"/>
    </row>
    <row r="413" spans="1:1" ht="15.75" customHeight="1">
      <c r="A413" s="331"/>
    </row>
    <row r="414" spans="1:1" ht="15.75" customHeight="1">
      <c r="A414" s="331"/>
    </row>
    <row r="415" spans="1:1" ht="15.75" customHeight="1">
      <c r="A415" s="331"/>
    </row>
    <row r="416" spans="1:1" ht="15.75" customHeight="1">
      <c r="A416" s="331"/>
    </row>
    <row r="417" spans="1:1" ht="15.75" customHeight="1">
      <c r="A417" s="331"/>
    </row>
    <row r="418" spans="1:1" ht="15.75" customHeight="1">
      <c r="A418" s="331"/>
    </row>
    <row r="419" spans="1:1" ht="15.75" customHeight="1">
      <c r="A419" s="331"/>
    </row>
    <row r="420" spans="1:1" ht="15.75" customHeight="1">
      <c r="A420" s="331"/>
    </row>
    <row r="421" spans="1:1" ht="15.75" customHeight="1">
      <c r="A421" s="331"/>
    </row>
    <row r="422" spans="1:1" ht="15.75" customHeight="1">
      <c r="A422" s="331"/>
    </row>
    <row r="423" spans="1:1" ht="15.75" customHeight="1">
      <c r="A423" s="331"/>
    </row>
    <row r="424" spans="1:1" ht="15.75" customHeight="1">
      <c r="A424" s="331"/>
    </row>
    <row r="425" spans="1:1" ht="15.75" customHeight="1">
      <c r="A425" s="331"/>
    </row>
    <row r="426" spans="1:1" ht="15.75" customHeight="1">
      <c r="A426" s="331"/>
    </row>
    <row r="427" spans="1:1" ht="15.75" customHeight="1">
      <c r="A427" s="331"/>
    </row>
    <row r="428" spans="1:1" ht="15.75" customHeight="1">
      <c r="A428" s="331"/>
    </row>
    <row r="429" spans="1:1" ht="15.75" customHeight="1">
      <c r="A429" s="331"/>
    </row>
    <row r="430" spans="1:1" ht="15.75" customHeight="1">
      <c r="A430" s="331"/>
    </row>
    <row r="431" spans="1:1" ht="15.75" customHeight="1">
      <c r="A431" s="331"/>
    </row>
    <row r="432" spans="1:1" ht="15.75" customHeight="1">
      <c r="A432" s="331"/>
    </row>
    <row r="433" spans="1:1" ht="15.75" customHeight="1">
      <c r="A433" s="331"/>
    </row>
    <row r="434" spans="1:1" ht="15.75" customHeight="1">
      <c r="A434" s="331"/>
    </row>
    <row r="435" spans="1:1" ht="15.75" customHeight="1">
      <c r="A435" s="331"/>
    </row>
    <row r="436" spans="1:1" ht="15.75" customHeight="1">
      <c r="A436" s="331"/>
    </row>
    <row r="437" spans="1:1" ht="15.75" customHeight="1">
      <c r="A437" s="331"/>
    </row>
    <row r="438" spans="1:1" ht="15.75" customHeight="1">
      <c r="A438" s="331"/>
    </row>
    <row r="439" spans="1:1" ht="15.75" customHeight="1">
      <c r="A439" s="331"/>
    </row>
    <row r="440" spans="1:1" ht="15.75" customHeight="1">
      <c r="A440" s="331"/>
    </row>
    <row r="441" spans="1:1" ht="15.75" customHeight="1">
      <c r="A441" s="331"/>
    </row>
    <row r="442" spans="1:1" ht="15.75" customHeight="1">
      <c r="A442" s="331"/>
    </row>
    <row r="443" spans="1:1" ht="15.75" customHeight="1">
      <c r="A443" s="331"/>
    </row>
    <row r="444" spans="1:1" ht="15.75" customHeight="1">
      <c r="A444" s="331"/>
    </row>
    <row r="445" spans="1:1" ht="15.75" customHeight="1">
      <c r="A445" s="331"/>
    </row>
    <row r="446" spans="1:1" ht="15.75" customHeight="1">
      <c r="A446" s="331"/>
    </row>
    <row r="447" spans="1:1" ht="15.75" customHeight="1">
      <c r="A447" s="331"/>
    </row>
    <row r="448" spans="1:1" ht="15.75" customHeight="1">
      <c r="A448" s="331"/>
    </row>
    <row r="449" spans="1:1" ht="15.75" customHeight="1">
      <c r="A449" s="331"/>
    </row>
    <row r="450" spans="1:1" ht="15.75" customHeight="1">
      <c r="A450" s="331"/>
    </row>
    <row r="451" spans="1:1" ht="15.75" customHeight="1">
      <c r="A451" s="331"/>
    </row>
    <row r="452" spans="1:1" ht="15.75" customHeight="1">
      <c r="A452" s="331"/>
    </row>
    <row r="453" spans="1:1" ht="15.75" customHeight="1">
      <c r="A453" s="331"/>
    </row>
    <row r="454" spans="1:1" ht="15.75" customHeight="1">
      <c r="A454" s="331"/>
    </row>
    <row r="455" spans="1:1" ht="15.75" customHeight="1">
      <c r="A455" s="331"/>
    </row>
    <row r="456" spans="1:1" ht="15.75" customHeight="1">
      <c r="A456" s="331"/>
    </row>
    <row r="457" spans="1:1" ht="15.75" customHeight="1">
      <c r="A457" s="331"/>
    </row>
    <row r="458" spans="1:1" ht="15.75" customHeight="1">
      <c r="A458" s="331"/>
    </row>
    <row r="459" spans="1:1" ht="15.75" customHeight="1">
      <c r="A459" s="331"/>
    </row>
    <row r="460" spans="1:1" ht="15.75" customHeight="1">
      <c r="A460" s="331"/>
    </row>
    <row r="461" spans="1:1" ht="15.75" customHeight="1">
      <c r="A461" s="331"/>
    </row>
    <row r="462" spans="1:1" ht="15.75" customHeight="1">
      <c r="A462" s="331"/>
    </row>
    <row r="463" spans="1:1" ht="15.75" customHeight="1">
      <c r="A463" s="331"/>
    </row>
    <row r="464" spans="1:1" ht="15.75" customHeight="1">
      <c r="A464" s="331"/>
    </row>
    <row r="465" spans="1:1" ht="15.75" customHeight="1">
      <c r="A465" s="331"/>
    </row>
    <row r="466" spans="1:1" ht="15.75" customHeight="1">
      <c r="A466" s="331"/>
    </row>
    <row r="467" spans="1:1" ht="15.75" customHeight="1">
      <c r="A467" s="331"/>
    </row>
    <row r="468" spans="1:1" ht="15.75" customHeight="1">
      <c r="A468" s="331"/>
    </row>
    <row r="469" spans="1:1" ht="15.75" customHeight="1">
      <c r="A469" s="331"/>
    </row>
    <row r="470" spans="1:1" ht="15.75" customHeight="1">
      <c r="A470" s="331"/>
    </row>
    <row r="471" spans="1:1" ht="15.75" customHeight="1">
      <c r="A471" s="331"/>
    </row>
    <row r="472" spans="1:1" ht="15.75" customHeight="1">
      <c r="A472" s="331"/>
    </row>
    <row r="473" spans="1:1" ht="15.75" customHeight="1">
      <c r="A473" s="331"/>
    </row>
    <row r="474" spans="1:1" ht="15.75" customHeight="1">
      <c r="A474" s="331"/>
    </row>
    <row r="475" spans="1:1" ht="15.75" customHeight="1">
      <c r="A475" s="331"/>
    </row>
    <row r="476" spans="1:1" ht="15.75" customHeight="1">
      <c r="A476" s="331"/>
    </row>
    <row r="477" spans="1:1" ht="15.75" customHeight="1">
      <c r="A477" s="331"/>
    </row>
    <row r="478" spans="1:1" ht="15.75" customHeight="1">
      <c r="A478" s="331"/>
    </row>
    <row r="479" spans="1:1" ht="15.75" customHeight="1">
      <c r="A479" s="331"/>
    </row>
    <row r="480" spans="1:1" ht="15.75" customHeight="1">
      <c r="A480" s="331"/>
    </row>
    <row r="481" spans="1:1" ht="15.75" customHeight="1">
      <c r="A481" s="331"/>
    </row>
    <row r="482" spans="1:1" ht="15.75" customHeight="1">
      <c r="A482" s="331"/>
    </row>
    <row r="483" spans="1:1" ht="15.75" customHeight="1">
      <c r="A483" s="331"/>
    </row>
    <row r="484" spans="1:1" ht="15.75" customHeight="1">
      <c r="A484" s="331"/>
    </row>
    <row r="485" spans="1:1" ht="15.75" customHeight="1">
      <c r="A485" s="331"/>
    </row>
    <row r="486" spans="1:1" ht="15.75" customHeight="1">
      <c r="A486" s="331"/>
    </row>
    <row r="487" spans="1:1" ht="15.75" customHeight="1">
      <c r="A487" s="331"/>
    </row>
    <row r="488" spans="1:1" ht="15.75" customHeight="1">
      <c r="A488" s="331"/>
    </row>
    <row r="489" spans="1:1" ht="15.75" customHeight="1">
      <c r="A489" s="331"/>
    </row>
    <row r="490" spans="1:1" ht="15.75" customHeight="1">
      <c r="A490" s="331"/>
    </row>
    <row r="491" spans="1:1" ht="15.75" customHeight="1">
      <c r="A491" s="331"/>
    </row>
    <row r="492" spans="1:1" ht="15.75" customHeight="1">
      <c r="A492" s="331"/>
    </row>
    <row r="493" spans="1:1" ht="15.75" customHeight="1">
      <c r="A493" s="331"/>
    </row>
    <row r="494" spans="1:1" ht="15.75" customHeight="1">
      <c r="A494" s="331"/>
    </row>
    <row r="495" spans="1:1" ht="15.75" customHeight="1">
      <c r="A495" s="331"/>
    </row>
    <row r="496" spans="1:1" ht="15.75" customHeight="1">
      <c r="A496" s="331"/>
    </row>
    <row r="497" spans="1:1" ht="15.75" customHeight="1">
      <c r="A497" s="331"/>
    </row>
    <row r="498" spans="1:1" ht="15.75" customHeight="1">
      <c r="A498" s="331"/>
    </row>
    <row r="499" spans="1:1" ht="15.75" customHeight="1">
      <c r="A499" s="331"/>
    </row>
    <row r="500" spans="1:1" ht="15.75" customHeight="1">
      <c r="A500" s="331"/>
    </row>
    <row r="501" spans="1:1" ht="15.75" customHeight="1">
      <c r="A501" s="331"/>
    </row>
    <row r="502" spans="1:1" ht="15.75" customHeight="1">
      <c r="A502" s="331"/>
    </row>
    <row r="503" spans="1:1" ht="15.75" customHeight="1">
      <c r="A503" s="331"/>
    </row>
    <row r="504" spans="1:1" ht="15.75" customHeight="1">
      <c r="A504" s="331"/>
    </row>
    <row r="505" spans="1:1" ht="15.75" customHeight="1">
      <c r="A505" s="331"/>
    </row>
    <row r="506" spans="1:1" ht="15.75" customHeight="1">
      <c r="A506" s="331"/>
    </row>
    <row r="507" spans="1:1" ht="15.75" customHeight="1">
      <c r="A507" s="331"/>
    </row>
    <row r="508" spans="1:1" ht="15.75" customHeight="1">
      <c r="A508" s="331"/>
    </row>
    <row r="509" spans="1:1" ht="15.75" customHeight="1">
      <c r="A509" s="331"/>
    </row>
    <row r="510" spans="1:1" ht="15.75" customHeight="1">
      <c r="A510" s="331"/>
    </row>
    <row r="511" spans="1:1" ht="15.75" customHeight="1">
      <c r="A511" s="331"/>
    </row>
    <row r="512" spans="1:1" ht="15.75" customHeight="1">
      <c r="A512" s="331"/>
    </row>
    <row r="513" spans="1:1" ht="15.75" customHeight="1">
      <c r="A513" s="331"/>
    </row>
    <row r="514" spans="1:1" ht="15.75" customHeight="1">
      <c r="A514" s="331"/>
    </row>
    <row r="515" spans="1:1" ht="15.75" customHeight="1">
      <c r="A515" s="331"/>
    </row>
    <row r="516" spans="1:1" ht="15.75" customHeight="1">
      <c r="A516" s="331"/>
    </row>
    <row r="517" spans="1:1" ht="15.75" customHeight="1">
      <c r="A517" s="331"/>
    </row>
    <row r="518" spans="1:1" ht="15.75" customHeight="1">
      <c r="A518" s="331"/>
    </row>
    <row r="519" spans="1:1" ht="15.75" customHeight="1">
      <c r="A519" s="331"/>
    </row>
    <row r="520" spans="1:1" ht="15.75" customHeight="1">
      <c r="A520" s="331"/>
    </row>
    <row r="521" spans="1:1" ht="15.75" customHeight="1">
      <c r="A521" s="331"/>
    </row>
    <row r="522" spans="1:1" ht="15.75" customHeight="1">
      <c r="A522" s="331"/>
    </row>
    <row r="523" spans="1:1" ht="15.75" customHeight="1">
      <c r="A523" s="331"/>
    </row>
    <row r="524" spans="1:1" ht="15.75" customHeight="1">
      <c r="A524" s="331"/>
    </row>
    <row r="525" spans="1:1" ht="15.75" customHeight="1">
      <c r="A525" s="331"/>
    </row>
    <row r="526" spans="1:1" ht="15.75" customHeight="1">
      <c r="A526" s="331"/>
    </row>
    <row r="527" spans="1:1" ht="15.75" customHeight="1">
      <c r="A527" s="331"/>
    </row>
    <row r="528" spans="1:1" ht="15.75" customHeight="1">
      <c r="A528" s="331"/>
    </row>
    <row r="529" spans="1:1" ht="15.75" customHeight="1">
      <c r="A529" s="331"/>
    </row>
    <row r="530" spans="1:1" ht="15.75" customHeight="1">
      <c r="A530" s="331"/>
    </row>
    <row r="531" spans="1:1" ht="15.75" customHeight="1">
      <c r="A531" s="331"/>
    </row>
    <row r="532" spans="1:1" ht="15.75" customHeight="1">
      <c r="A532" s="331"/>
    </row>
    <row r="533" spans="1:1" ht="15.75" customHeight="1">
      <c r="A533" s="331"/>
    </row>
    <row r="534" spans="1:1" ht="15.75" customHeight="1">
      <c r="A534" s="331"/>
    </row>
    <row r="535" spans="1:1" ht="15.75" customHeight="1">
      <c r="A535" s="331"/>
    </row>
    <row r="536" spans="1:1" ht="15.75" customHeight="1">
      <c r="A536" s="331"/>
    </row>
    <row r="537" spans="1:1" ht="15.75" customHeight="1">
      <c r="A537" s="331"/>
    </row>
    <row r="538" spans="1:1" ht="15.75" customHeight="1">
      <c r="A538" s="331"/>
    </row>
    <row r="539" spans="1:1" ht="15.75" customHeight="1">
      <c r="A539" s="331"/>
    </row>
    <row r="540" spans="1:1" ht="15.75" customHeight="1">
      <c r="A540" s="331"/>
    </row>
    <row r="541" spans="1:1" ht="15.75" customHeight="1">
      <c r="A541" s="331"/>
    </row>
    <row r="542" spans="1:1" ht="15.75" customHeight="1">
      <c r="A542" s="331"/>
    </row>
    <row r="543" spans="1:1" ht="15.75" customHeight="1">
      <c r="A543" s="331"/>
    </row>
    <row r="544" spans="1:1" ht="15.75" customHeight="1">
      <c r="A544" s="331"/>
    </row>
    <row r="545" spans="1:1" ht="15.75" customHeight="1">
      <c r="A545" s="331"/>
    </row>
    <row r="546" spans="1:1" ht="15.75" customHeight="1">
      <c r="A546" s="331"/>
    </row>
    <row r="547" spans="1:1" ht="15.75" customHeight="1">
      <c r="A547" s="331"/>
    </row>
    <row r="548" spans="1:1" ht="15.75" customHeight="1">
      <c r="A548" s="331"/>
    </row>
    <row r="549" spans="1:1" ht="15.75" customHeight="1">
      <c r="A549" s="331"/>
    </row>
    <row r="550" spans="1:1" ht="15.75" customHeight="1">
      <c r="A550" s="331"/>
    </row>
    <row r="551" spans="1:1" ht="15.75" customHeight="1">
      <c r="A551" s="331"/>
    </row>
    <row r="552" spans="1:1" ht="15.75" customHeight="1">
      <c r="A552" s="331"/>
    </row>
    <row r="553" spans="1:1" ht="15.75" customHeight="1">
      <c r="A553" s="331"/>
    </row>
    <row r="554" spans="1:1" ht="15.75" customHeight="1">
      <c r="A554" s="331"/>
    </row>
    <row r="555" spans="1:1" ht="15.75" customHeight="1">
      <c r="A555" s="331"/>
    </row>
    <row r="556" spans="1:1" ht="15.75" customHeight="1">
      <c r="A556" s="331"/>
    </row>
    <row r="557" spans="1:1" ht="15.75" customHeight="1">
      <c r="A557" s="331"/>
    </row>
    <row r="558" spans="1:1" ht="15.75" customHeight="1">
      <c r="A558" s="331"/>
    </row>
    <row r="559" spans="1:1" ht="15.75" customHeight="1">
      <c r="A559" s="331"/>
    </row>
    <row r="560" spans="1:1" ht="15.75" customHeight="1">
      <c r="A560" s="331"/>
    </row>
    <row r="561" spans="1:1" ht="15.75" customHeight="1">
      <c r="A561" s="331"/>
    </row>
    <row r="562" spans="1:1" ht="15.75" customHeight="1">
      <c r="A562" s="331"/>
    </row>
    <row r="563" spans="1:1" ht="15.75" customHeight="1">
      <c r="A563" s="331"/>
    </row>
    <row r="564" spans="1:1" ht="15.75" customHeight="1">
      <c r="A564" s="331"/>
    </row>
    <row r="565" spans="1:1" ht="15.75" customHeight="1">
      <c r="A565" s="331"/>
    </row>
    <row r="566" spans="1:1" ht="15.75" customHeight="1">
      <c r="A566" s="331"/>
    </row>
    <row r="567" spans="1:1" ht="15.75" customHeight="1">
      <c r="A567" s="331"/>
    </row>
    <row r="568" spans="1:1" ht="15.75" customHeight="1">
      <c r="A568" s="331"/>
    </row>
    <row r="569" spans="1:1" ht="15.75" customHeight="1">
      <c r="A569" s="331"/>
    </row>
    <row r="570" spans="1:1" ht="15.75" customHeight="1">
      <c r="A570" s="331"/>
    </row>
    <row r="571" spans="1:1" ht="15.75" customHeight="1">
      <c r="A571" s="331"/>
    </row>
    <row r="572" spans="1:1" ht="15.75" customHeight="1">
      <c r="A572" s="331"/>
    </row>
    <row r="573" spans="1:1" ht="15.75" customHeight="1">
      <c r="A573" s="331"/>
    </row>
    <row r="574" spans="1:1" ht="15.75" customHeight="1">
      <c r="A574" s="331"/>
    </row>
    <row r="575" spans="1:1" ht="15.75" customHeight="1">
      <c r="A575" s="331"/>
    </row>
    <row r="576" spans="1:1" ht="15.75" customHeight="1">
      <c r="A576" s="331"/>
    </row>
    <row r="577" spans="1:1" ht="15.75" customHeight="1">
      <c r="A577" s="331"/>
    </row>
    <row r="578" spans="1:1" ht="15.75" customHeight="1">
      <c r="A578" s="331"/>
    </row>
    <row r="579" spans="1:1" ht="15.75" customHeight="1">
      <c r="A579" s="331"/>
    </row>
    <row r="580" spans="1:1" ht="15.75" customHeight="1">
      <c r="A580" s="331"/>
    </row>
    <row r="581" spans="1:1" ht="15.75" customHeight="1">
      <c r="A581" s="331"/>
    </row>
    <row r="582" spans="1:1" ht="15.75" customHeight="1">
      <c r="A582" s="331"/>
    </row>
    <row r="583" spans="1:1" ht="15.75" customHeight="1">
      <c r="A583" s="331"/>
    </row>
    <row r="584" spans="1:1" ht="15.75" customHeight="1">
      <c r="A584" s="331"/>
    </row>
    <row r="585" spans="1:1" ht="15.75" customHeight="1">
      <c r="A585" s="331"/>
    </row>
    <row r="586" spans="1:1" ht="15.75" customHeight="1">
      <c r="A586" s="331"/>
    </row>
    <row r="587" spans="1:1" ht="15.75" customHeight="1">
      <c r="A587" s="331"/>
    </row>
    <row r="588" spans="1:1" ht="15.75" customHeight="1">
      <c r="A588" s="331"/>
    </row>
    <row r="589" spans="1:1" ht="15.75" customHeight="1">
      <c r="A589" s="331"/>
    </row>
    <row r="590" spans="1:1" ht="15.75" customHeight="1">
      <c r="A590" s="331"/>
    </row>
    <row r="591" spans="1:1" ht="15.75" customHeight="1">
      <c r="A591" s="331"/>
    </row>
    <row r="592" spans="1:1" ht="15.75" customHeight="1">
      <c r="A592" s="331"/>
    </row>
    <row r="593" spans="1:1" ht="15.75" customHeight="1">
      <c r="A593" s="331"/>
    </row>
    <row r="594" spans="1:1" ht="15.75" customHeight="1">
      <c r="A594" s="331"/>
    </row>
    <row r="595" spans="1:1" ht="15.75" customHeight="1">
      <c r="A595" s="331"/>
    </row>
    <row r="596" spans="1:1" ht="15.75" customHeight="1">
      <c r="A596" s="331"/>
    </row>
    <row r="597" spans="1:1" ht="15.75" customHeight="1">
      <c r="A597" s="331"/>
    </row>
    <row r="598" spans="1:1" ht="15.75" customHeight="1">
      <c r="A598" s="331"/>
    </row>
    <row r="599" spans="1:1" ht="15.75" customHeight="1">
      <c r="A599" s="331"/>
    </row>
    <row r="600" spans="1:1" ht="15.75" customHeight="1">
      <c r="A600" s="331"/>
    </row>
    <row r="601" spans="1:1" ht="15.75" customHeight="1">
      <c r="A601" s="331"/>
    </row>
    <row r="602" spans="1:1" ht="15.75" customHeight="1">
      <c r="A602" s="331"/>
    </row>
    <row r="603" spans="1:1" ht="15.75" customHeight="1">
      <c r="A603" s="331"/>
    </row>
    <row r="604" spans="1:1" ht="15.75" customHeight="1">
      <c r="A604" s="331"/>
    </row>
    <row r="605" spans="1:1" ht="15.75" customHeight="1">
      <c r="A605" s="331"/>
    </row>
    <row r="606" spans="1:1" ht="15.75" customHeight="1">
      <c r="A606" s="331"/>
    </row>
    <row r="607" spans="1:1" ht="15.75" customHeight="1">
      <c r="A607" s="331"/>
    </row>
    <row r="608" spans="1:1" ht="15.75" customHeight="1">
      <c r="A608" s="331"/>
    </row>
    <row r="609" spans="1:1" ht="15.75" customHeight="1">
      <c r="A609" s="331"/>
    </row>
    <row r="610" spans="1:1" ht="15.75" customHeight="1">
      <c r="A610" s="331"/>
    </row>
    <row r="611" spans="1:1" ht="15.75" customHeight="1">
      <c r="A611" s="331"/>
    </row>
    <row r="612" spans="1:1" ht="15.75" customHeight="1">
      <c r="A612" s="331"/>
    </row>
    <row r="613" spans="1:1" ht="15.75" customHeight="1">
      <c r="A613" s="331"/>
    </row>
    <row r="614" spans="1:1" ht="15.75" customHeight="1">
      <c r="A614" s="331"/>
    </row>
    <row r="615" spans="1:1" ht="15.75" customHeight="1">
      <c r="A615" s="331"/>
    </row>
    <row r="616" spans="1:1" ht="15.75" customHeight="1">
      <c r="A616" s="331"/>
    </row>
    <row r="617" spans="1:1" ht="15.75" customHeight="1">
      <c r="A617" s="331"/>
    </row>
    <row r="618" spans="1:1" ht="15.75" customHeight="1">
      <c r="A618" s="331"/>
    </row>
    <row r="619" spans="1:1" ht="15.75" customHeight="1">
      <c r="A619" s="331"/>
    </row>
    <row r="620" spans="1:1" ht="15.75" customHeight="1">
      <c r="A620" s="331"/>
    </row>
    <row r="621" spans="1:1" ht="15.75" customHeight="1">
      <c r="A621" s="331"/>
    </row>
    <row r="622" spans="1:1" ht="15.75" customHeight="1">
      <c r="A622" s="331"/>
    </row>
    <row r="623" spans="1:1" ht="15.75" customHeight="1">
      <c r="A623" s="331"/>
    </row>
    <row r="624" spans="1:1" ht="15.75" customHeight="1">
      <c r="A624" s="331"/>
    </row>
    <row r="625" spans="1:1" ht="15.75" customHeight="1">
      <c r="A625" s="331"/>
    </row>
    <row r="626" spans="1:1" ht="15.75" customHeight="1">
      <c r="A626" s="331"/>
    </row>
    <row r="627" spans="1:1" ht="15.75" customHeight="1">
      <c r="A627" s="331"/>
    </row>
    <row r="628" spans="1:1" ht="15.75" customHeight="1">
      <c r="A628" s="331"/>
    </row>
    <row r="629" spans="1:1" ht="15.75" customHeight="1">
      <c r="A629" s="331"/>
    </row>
    <row r="630" spans="1:1" ht="15.75" customHeight="1">
      <c r="A630" s="331"/>
    </row>
    <row r="631" spans="1:1" ht="15.75" customHeight="1">
      <c r="A631" s="331"/>
    </row>
    <row r="632" spans="1:1" ht="15.75" customHeight="1">
      <c r="A632" s="331"/>
    </row>
    <row r="633" spans="1:1" ht="15.75" customHeight="1">
      <c r="A633" s="331"/>
    </row>
    <row r="634" spans="1:1" ht="15.75" customHeight="1">
      <c r="A634" s="331"/>
    </row>
    <row r="635" spans="1:1" ht="15.75" customHeight="1">
      <c r="A635" s="331"/>
    </row>
    <row r="636" spans="1:1" ht="15.75" customHeight="1">
      <c r="A636" s="331"/>
    </row>
    <row r="637" spans="1:1" ht="15.75" customHeight="1">
      <c r="A637" s="331"/>
    </row>
    <row r="638" spans="1:1" ht="15.75" customHeight="1">
      <c r="A638" s="331"/>
    </row>
    <row r="639" spans="1:1" ht="15.75" customHeight="1">
      <c r="A639" s="331"/>
    </row>
    <row r="640" spans="1:1" ht="15.75" customHeight="1">
      <c r="A640" s="331"/>
    </row>
    <row r="641" spans="1:1" ht="15.75" customHeight="1">
      <c r="A641" s="331"/>
    </row>
    <row r="642" spans="1:1" ht="15.75" customHeight="1">
      <c r="A642" s="331"/>
    </row>
    <row r="643" spans="1:1" ht="15.75" customHeight="1">
      <c r="A643" s="331"/>
    </row>
    <row r="644" spans="1:1" ht="15.75" customHeight="1">
      <c r="A644" s="331"/>
    </row>
    <row r="645" spans="1:1" ht="15.75" customHeight="1">
      <c r="A645" s="331"/>
    </row>
    <row r="646" spans="1:1" ht="15.75" customHeight="1">
      <c r="A646" s="331"/>
    </row>
    <row r="647" spans="1:1" ht="15.75" customHeight="1">
      <c r="A647" s="331"/>
    </row>
    <row r="648" spans="1:1" ht="15.75" customHeight="1">
      <c r="A648" s="331"/>
    </row>
    <row r="649" spans="1:1" ht="15.75" customHeight="1">
      <c r="A649" s="331"/>
    </row>
    <row r="650" spans="1:1" ht="15.75" customHeight="1">
      <c r="A650" s="331"/>
    </row>
    <row r="651" spans="1:1" ht="15.75" customHeight="1">
      <c r="A651" s="331"/>
    </row>
    <row r="652" spans="1:1" ht="15.75" customHeight="1">
      <c r="A652" s="331"/>
    </row>
    <row r="653" spans="1:1" ht="15.75" customHeight="1">
      <c r="A653" s="331"/>
    </row>
    <row r="654" spans="1:1" ht="15.75" customHeight="1">
      <c r="A654" s="331"/>
    </row>
    <row r="655" spans="1:1" ht="15.75" customHeight="1">
      <c r="A655" s="331"/>
    </row>
    <row r="656" spans="1:1" ht="15.75" customHeight="1">
      <c r="A656" s="331"/>
    </row>
    <row r="657" spans="1:1" ht="15.75" customHeight="1">
      <c r="A657" s="331"/>
    </row>
    <row r="658" spans="1:1" ht="15.75" customHeight="1">
      <c r="A658" s="331"/>
    </row>
    <row r="659" spans="1:1" ht="15.75" customHeight="1">
      <c r="A659" s="331"/>
    </row>
    <row r="660" spans="1:1" ht="15.75" customHeight="1">
      <c r="A660" s="331"/>
    </row>
    <row r="661" spans="1:1" ht="15.75" customHeight="1">
      <c r="A661" s="331"/>
    </row>
    <row r="662" spans="1:1" ht="15.75" customHeight="1">
      <c r="A662" s="331"/>
    </row>
    <row r="663" spans="1:1" ht="15.75" customHeight="1">
      <c r="A663" s="331"/>
    </row>
    <row r="664" spans="1:1" ht="15.75" customHeight="1">
      <c r="A664" s="331"/>
    </row>
    <row r="665" spans="1:1" ht="15.75" customHeight="1">
      <c r="A665" s="331"/>
    </row>
    <row r="666" spans="1:1" ht="15.75" customHeight="1">
      <c r="A666" s="331"/>
    </row>
    <row r="667" spans="1:1" ht="15.75" customHeight="1">
      <c r="A667" s="331"/>
    </row>
    <row r="668" spans="1:1" ht="15.75" customHeight="1">
      <c r="A668" s="331"/>
    </row>
    <row r="669" spans="1:1" ht="15.75" customHeight="1">
      <c r="A669" s="331"/>
    </row>
    <row r="670" spans="1:1" ht="15.75" customHeight="1">
      <c r="A670" s="331"/>
    </row>
    <row r="671" spans="1:1" ht="15.75" customHeight="1">
      <c r="A671" s="331"/>
    </row>
    <row r="672" spans="1:1" ht="15.75" customHeight="1">
      <c r="A672" s="331"/>
    </row>
    <row r="673" spans="1:1" ht="15.75" customHeight="1">
      <c r="A673" s="331"/>
    </row>
    <row r="674" spans="1:1" ht="15.75" customHeight="1">
      <c r="A674" s="331"/>
    </row>
    <row r="675" spans="1:1" ht="15.75" customHeight="1">
      <c r="A675" s="331"/>
    </row>
    <row r="676" spans="1:1" ht="15.75" customHeight="1">
      <c r="A676" s="331"/>
    </row>
    <row r="677" spans="1:1" ht="15.75" customHeight="1">
      <c r="A677" s="331"/>
    </row>
    <row r="678" spans="1:1" ht="15.75" customHeight="1">
      <c r="A678" s="331"/>
    </row>
    <row r="679" spans="1:1" ht="15.75" customHeight="1">
      <c r="A679" s="331"/>
    </row>
    <row r="680" spans="1:1" ht="15.75" customHeight="1">
      <c r="A680" s="331"/>
    </row>
    <row r="681" spans="1:1" ht="15.75" customHeight="1">
      <c r="A681" s="331"/>
    </row>
    <row r="682" spans="1:1" ht="15.75" customHeight="1">
      <c r="A682" s="331"/>
    </row>
    <row r="683" spans="1:1" ht="15.75" customHeight="1">
      <c r="A683" s="331"/>
    </row>
    <row r="684" spans="1:1" ht="15.75" customHeight="1">
      <c r="A684" s="331"/>
    </row>
    <row r="685" spans="1:1" ht="15.75" customHeight="1">
      <c r="A685" s="331"/>
    </row>
    <row r="686" spans="1:1" ht="15.75" customHeight="1">
      <c r="A686" s="331"/>
    </row>
    <row r="687" spans="1:1" ht="15.75" customHeight="1">
      <c r="A687" s="331"/>
    </row>
    <row r="688" spans="1:1" ht="15.75" customHeight="1">
      <c r="A688" s="331"/>
    </row>
    <row r="689" spans="1:1" ht="15.75" customHeight="1">
      <c r="A689" s="331"/>
    </row>
    <row r="690" spans="1:1" ht="15.75" customHeight="1">
      <c r="A690" s="331"/>
    </row>
    <row r="691" spans="1:1" ht="15.75" customHeight="1">
      <c r="A691" s="331"/>
    </row>
    <row r="692" spans="1:1" ht="15.75" customHeight="1">
      <c r="A692" s="331"/>
    </row>
    <row r="693" spans="1:1" ht="15.75" customHeight="1">
      <c r="A693" s="331"/>
    </row>
    <row r="694" spans="1:1" ht="15.75" customHeight="1">
      <c r="A694" s="331"/>
    </row>
    <row r="695" spans="1:1" ht="15.75" customHeight="1">
      <c r="A695" s="331"/>
    </row>
    <row r="696" spans="1:1" ht="15.75" customHeight="1">
      <c r="A696" s="331"/>
    </row>
    <row r="697" spans="1:1" ht="15.75" customHeight="1">
      <c r="A697" s="331"/>
    </row>
    <row r="698" spans="1:1" ht="15.75" customHeight="1">
      <c r="A698" s="331"/>
    </row>
    <row r="699" spans="1:1" ht="15.75" customHeight="1">
      <c r="A699" s="331"/>
    </row>
    <row r="700" spans="1:1" ht="15.75" customHeight="1">
      <c r="A700" s="331"/>
    </row>
    <row r="701" spans="1:1" ht="15.75" customHeight="1">
      <c r="A701" s="331"/>
    </row>
    <row r="702" spans="1:1" ht="15.75" customHeight="1">
      <c r="A702" s="331"/>
    </row>
    <row r="703" spans="1:1" ht="15.75" customHeight="1">
      <c r="A703" s="331"/>
    </row>
    <row r="704" spans="1:1" ht="15.75" customHeight="1">
      <c r="A704" s="331"/>
    </row>
    <row r="705" spans="1:1" ht="15.75" customHeight="1">
      <c r="A705" s="331"/>
    </row>
    <row r="706" spans="1:1" ht="15.75" customHeight="1">
      <c r="A706" s="331"/>
    </row>
    <row r="707" spans="1:1" ht="15.75" customHeight="1">
      <c r="A707" s="331"/>
    </row>
    <row r="708" spans="1:1" ht="15.75" customHeight="1">
      <c r="A708" s="331"/>
    </row>
    <row r="709" spans="1:1" ht="15.75" customHeight="1">
      <c r="A709" s="331"/>
    </row>
    <row r="710" spans="1:1" ht="15.75" customHeight="1">
      <c r="A710" s="331"/>
    </row>
    <row r="711" spans="1:1" ht="15.75" customHeight="1">
      <c r="A711" s="331"/>
    </row>
    <row r="712" spans="1:1" ht="15.75" customHeight="1">
      <c r="A712" s="331"/>
    </row>
    <row r="713" spans="1:1" ht="15.75" customHeight="1">
      <c r="A713" s="331"/>
    </row>
    <row r="714" spans="1:1" ht="15.75" customHeight="1">
      <c r="A714" s="331"/>
    </row>
    <row r="715" spans="1:1" ht="15.75" customHeight="1">
      <c r="A715" s="331"/>
    </row>
    <row r="716" spans="1:1" ht="15.75" customHeight="1">
      <c r="A716" s="331"/>
    </row>
    <row r="717" spans="1:1" ht="15.75" customHeight="1">
      <c r="A717" s="331"/>
    </row>
    <row r="718" spans="1:1" ht="15.75" customHeight="1">
      <c r="A718" s="331"/>
    </row>
    <row r="719" spans="1:1" ht="15.75" customHeight="1">
      <c r="A719" s="331"/>
    </row>
    <row r="720" spans="1:1" ht="15.75" customHeight="1">
      <c r="A720" s="331"/>
    </row>
    <row r="721" spans="1:1" ht="15.75" customHeight="1">
      <c r="A721" s="331"/>
    </row>
    <row r="722" spans="1:1" ht="15.75" customHeight="1">
      <c r="A722" s="331"/>
    </row>
    <row r="723" spans="1:1" ht="15.75" customHeight="1">
      <c r="A723" s="331"/>
    </row>
    <row r="724" spans="1:1" ht="15.75" customHeight="1">
      <c r="A724" s="331"/>
    </row>
    <row r="725" spans="1:1" ht="15.75" customHeight="1">
      <c r="A725" s="331"/>
    </row>
    <row r="726" spans="1:1" ht="15.75" customHeight="1">
      <c r="A726" s="331"/>
    </row>
    <row r="727" spans="1:1" ht="15.75" customHeight="1">
      <c r="A727" s="331"/>
    </row>
    <row r="728" spans="1:1" ht="15.75" customHeight="1">
      <c r="A728" s="331"/>
    </row>
    <row r="729" spans="1:1" ht="15.75" customHeight="1">
      <c r="A729" s="331"/>
    </row>
    <row r="730" spans="1:1" ht="15.75" customHeight="1">
      <c r="A730" s="331"/>
    </row>
    <row r="731" spans="1:1" ht="15.75" customHeight="1">
      <c r="A731" s="331"/>
    </row>
    <row r="732" spans="1:1" ht="15.75" customHeight="1">
      <c r="A732" s="331"/>
    </row>
    <row r="733" spans="1:1" ht="15.75" customHeight="1">
      <c r="A733" s="331"/>
    </row>
    <row r="734" spans="1:1" ht="15.75" customHeight="1">
      <c r="A734" s="331"/>
    </row>
    <row r="735" spans="1:1" ht="15.75" customHeight="1">
      <c r="A735" s="331"/>
    </row>
    <row r="736" spans="1:1" ht="15.75" customHeight="1">
      <c r="A736" s="331"/>
    </row>
    <row r="737" spans="1:1" ht="15.75" customHeight="1">
      <c r="A737" s="331"/>
    </row>
    <row r="738" spans="1:1" ht="15.75" customHeight="1">
      <c r="A738" s="331"/>
    </row>
    <row r="739" spans="1:1" ht="15.75" customHeight="1">
      <c r="A739" s="331"/>
    </row>
    <row r="740" spans="1:1" ht="15.75" customHeight="1">
      <c r="A740" s="331"/>
    </row>
    <row r="741" spans="1:1" ht="15.75" customHeight="1">
      <c r="A741" s="331"/>
    </row>
    <row r="742" spans="1:1" ht="15.75" customHeight="1">
      <c r="A742" s="331"/>
    </row>
    <row r="743" spans="1:1" ht="15.75" customHeight="1">
      <c r="A743" s="331"/>
    </row>
    <row r="744" spans="1:1" ht="15.75" customHeight="1">
      <c r="A744" s="331"/>
    </row>
    <row r="745" spans="1:1" ht="15.75" customHeight="1">
      <c r="A745" s="331"/>
    </row>
    <row r="746" spans="1:1" ht="15.75" customHeight="1">
      <c r="A746" s="331"/>
    </row>
    <row r="747" spans="1:1" ht="15.75" customHeight="1">
      <c r="A747" s="331"/>
    </row>
    <row r="748" spans="1:1" ht="15.75" customHeight="1">
      <c r="A748" s="331"/>
    </row>
    <row r="749" spans="1:1" ht="15.75" customHeight="1">
      <c r="A749" s="331"/>
    </row>
    <row r="750" spans="1:1" ht="15.75" customHeight="1">
      <c r="A750" s="331"/>
    </row>
    <row r="751" spans="1:1" ht="15.75" customHeight="1">
      <c r="A751" s="331"/>
    </row>
    <row r="752" spans="1:1" ht="15.75" customHeight="1">
      <c r="A752" s="331"/>
    </row>
    <row r="753" spans="1:1" ht="15.75" customHeight="1">
      <c r="A753" s="331"/>
    </row>
    <row r="754" spans="1:1" ht="15.75" customHeight="1">
      <c r="A754" s="331"/>
    </row>
    <row r="755" spans="1:1" ht="15.75" customHeight="1">
      <c r="A755" s="331"/>
    </row>
    <row r="756" spans="1:1" ht="15.75" customHeight="1">
      <c r="A756" s="331"/>
    </row>
    <row r="757" spans="1:1" ht="15.75" customHeight="1">
      <c r="A757" s="331"/>
    </row>
    <row r="758" spans="1:1" ht="15.75" customHeight="1">
      <c r="A758" s="331"/>
    </row>
    <row r="759" spans="1:1" ht="15.75" customHeight="1">
      <c r="A759" s="331"/>
    </row>
    <row r="760" spans="1:1" ht="15.75" customHeight="1">
      <c r="A760" s="331"/>
    </row>
    <row r="761" spans="1:1" ht="15.75" customHeight="1">
      <c r="A761" s="331"/>
    </row>
    <row r="762" spans="1:1" ht="15.75" customHeight="1">
      <c r="A762" s="331"/>
    </row>
    <row r="763" spans="1:1" ht="15.75" customHeight="1">
      <c r="A763" s="331"/>
    </row>
    <row r="764" spans="1:1" ht="15.75" customHeight="1">
      <c r="A764" s="331"/>
    </row>
    <row r="765" spans="1:1" ht="15.75" customHeight="1">
      <c r="A765" s="331"/>
    </row>
    <row r="766" spans="1:1" ht="15.75" customHeight="1">
      <c r="A766" s="331"/>
    </row>
    <row r="767" spans="1:1" ht="15.75" customHeight="1">
      <c r="A767" s="331"/>
    </row>
    <row r="768" spans="1:1" ht="15.75" customHeight="1">
      <c r="A768" s="331"/>
    </row>
    <row r="769" spans="1:1" ht="15.75" customHeight="1">
      <c r="A769" s="331"/>
    </row>
    <row r="770" spans="1:1" ht="15.75" customHeight="1">
      <c r="A770" s="331"/>
    </row>
    <row r="771" spans="1:1" ht="15.75" customHeight="1">
      <c r="A771" s="331"/>
    </row>
    <row r="772" spans="1:1" ht="15.75" customHeight="1">
      <c r="A772" s="331"/>
    </row>
    <row r="773" spans="1:1" ht="15.75" customHeight="1">
      <c r="A773" s="331"/>
    </row>
    <row r="774" spans="1:1" ht="15.75" customHeight="1">
      <c r="A774" s="331"/>
    </row>
    <row r="775" spans="1:1" ht="15.75" customHeight="1">
      <c r="A775" s="331"/>
    </row>
    <row r="776" spans="1:1" ht="15.75" customHeight="1">
      <c r="A776" s="331"/>
    </row>
    <row r="777" spans="1:1" ht="15.75" customHeight="1">
      <c r="A777" s="331"/>
    </row>
    <row r="778" spans="1:1" ht="15.75" customHeight="1">
      <c r="A778" s="331"/>
    </row>
    <row r="779" spans="1:1" ht="15.75" customHeight="1">
      <c r="A779" s="331"/>
    </row>
    <row r="780" spans="1:1" ht="15.75" customHeight="1">
      <c r="A780" s="331"/>
    </row>
    <row r="781" spans="1:1" ht="15.75" customHeight="1">
      <c r="A781" s="331"/>
    </row>
    <row r="782" spans="1:1" ht="15.75" customHeight="1">
      <c r="A782" s="331"/>
    </row>
    <row r="783" spans="1:1" ht="15.75" customHeight="1">
      <c r="A783" s="331"/>
    </row>
    <row r="784" spans="1:1" ht="15.75" customHeight="1">
      <c r="A784" s="331"/>
    </row>
    <row r="785" spans="1:1" ht="15.75" customHeight="1">
      <c r="A785" s="331"/>
    </row>
    <row r="786" spans="1:1" ht="15.75" customHeight="1">
      <c r="A786" s="331"/>
    </row>
    <row r="787" spans="1:1" ht="15.75" customHeight="1">
      <c r="A787" s="331"/>
    </row>
    <row r="788" spans="1:1" ht="15.75" customHeight="1">
      <c r="A788" s="331"/>
    </row>
    <row r="789" spans="1:1" ht="15.75" customHeight="1">
      <c r="A789" s="331"/>
    </row>
    <row r="790" spans="1:1" ht="15.75" customHeight="1">
      <c r="A790" s="331"/>
    </row>
    <row r="791" spans="1:1" ht="15.75" customHeight="1">
      <c r="A791" s="331"/>
    </row>
    <row r="792" spans="1:1" ht="15.75" customHeight="1">
      <c r="A792" s="331"/>
    </row>
    <row r="793" spans="1:1" ht="15.75" customHeight="1">
      <c r="A793" s="331"/>
    </row>
    <row r="794" spans="1:1" ht="15.75" customHeight="1">
      <c r="A794" s="331"/>
    </row>
    <row r="795" spans="1:1" ht="15.75" customHeight="1">
      <c r="A795" s="331"/>
    </row>
    <row r="796" spans="1:1" ht="15.75" customHeight="1">
      <c r="A796" s="331"/>
    </row>
    <row r="797" spans="1:1" ht="15.75" customHeight="1">
      <c r="A797" s="331"/>
    </row>
    <row r="798" spans="1:1" ht="15.75" customHeight="1">
      <c r="A798" s="331"/>
    </row>
    <row r="799" spans="1:1" ht="15.75" customHeight="1">
      <c r="A799" s="331"/>
    </row>
    <row r="800" spans="1:1" ht="15.75" customHeight="1">
      <c r="A800" s="331"/>
    </row>
    <row r="801" spans="1:1" ht="15.75" customHeight="1">
      <c r="A801" s="331"/>
    </row>
    <row r="802" spans="1:1" ht="15.75" customHeight="1">
      <c r="A802" s="331"/>
    </row>
    <row r="803" spans="1:1" ht="15.75" customHeight="1">
      <c r="A803" s="331"/>
    </row>
    <row r="804" spans="1:1" ht="15.75" customHeight="1">
      <c r="A804" s="331"/>
    </row>
    <row r="805" spans="1:1" ht="15.75" customHeight="1">
      <c r="A805" s="331"/>
    </row>
    <row r="806" spans="1:1" ht="15.75" customHeight="1">
      <c r="A806" s="331"/>
    </row>
    <row r="807" spans="1:1" ht="15.75" customHeight="1">
      <c r="A807" s="331"/>
    </row>
    <row r="808" spans="1:1" ht="15.75" customHeight="1">
      <c r="A808" s="331"/>
    </row>
    <row r="809" spans="1:1" ht="15.75" customHeight="1">
      <c r="A809" s="331"/>
    </row>
    <row r="810" spans="1:1" ht="15.75" customHeight="1">
      <c r="A810" s="331"/>
    </row>
    <row r="811" spans="1:1" ht="15.75" customHeight="1">
      <c r="A811" s="331"/>
    </row>
    <row r="812" spans="1:1" ht="15.75" customHeight="1">
      <c r="A812" s="331"/>
    </row>
    <row r="813" spans="1:1" ht="15.75" customHeight="1">
      <c r="A813" s="331"/>
    </row>
    <row r="814" spans="1:1" ht="15.75" customHeight="1">
      <c r="A814" s="331"/>
    </row>
    <row r="815" spans="1:1" ht="15.75" customHeight="1">
      <c r="A815" s="331"/>
    </row>
    <row r="816" spans="1:1" ht="15.75" customHeight="1">
      <c r="A816" s="331"/>
    </row>
    <row r="817" spans="1:1" ht="15.75" customHeight="1">
      <c r="A817" s="331"/>
    </row>
    <row r="818" spans="1:1" ht="15.75" customHeight="1">
      <c r="A818" s="331"/>
    </row>
    <row r="819" spans="1:1" ht="15.75" customHeight="1">
      <c r="A819" s="331"/>
    </row>
    <row r="820" spans="1:1" ht="15.75" customHeight="1">
      <c r="A820" s="331"/>
    </row>
    <row r="821" spans="1:1" ht="15.75" customHeight="1">
      <c r="A821" s="331"/>
    </row>
    <row r="822" spans="1:1" ht="15.75" customHeight="1">
      <c r="A822" s="331"/>
    </row>
    <row r="823" spans="1:1" ht="15.75" customHeight="1">
      <c r="A823" s="331"/>
    </row>
    <row r="824" spans="1:1" ht="15.75" customHeight="1">
      <c r="A824" s="331"/>
    </row>
    <row r="825" spans="1:1" ht="15.75" customHeight="1">
      <c r="A825" s="331"/>
    </row>
    <row r="826" spans="1:1" ht="15.75" customHeight="1">
      <c r="A826" s="331"/>
    </row>
    <row r="827" spans="1:1" ht="15.75" customHeight="1">
      <c r="A827" s="331"/>
    </row>
    <row r="828" spans="1:1" ht="15.75" customHeight="1">
      <c r="A828" s="331"/>
    </row>
    <row r="829" spans="1:1" ht="15.75" customHeight="1">
      <c r="A829" s="331"/>
    </row>
    <row r="830" spans="1:1" ht="15.75" customHeight="1">
      <c r="A830" s="331"/>
    </row>
    <row r="831" spans="1:1" ht="15.75" customHeight="1">
      <c r="A831" s="331"/>
    </row>
    <row r="832" spans="1:1" ht="15.75" customHeight="1">
      <c r="A832" s="331"/>
    </row>
    <row r="833" spans="1:1" ht="15.75" customHeight="1">
      <c r="A833" s="331"/>
    </row>
    <row r="834" spans="1:1" ht="15.75" customHeight="1">
      <c r="A834" s="331"/>
    </row>
    <row r="835" spans="1:1" ht="15.75" customHeight="1">
      <c r="A835" s="331"/>
    </row>
    <row r="836" spans="1:1" ht="15.75" customHeight="1">
      <c r="A836" s="331"/>
    </row>
    <row r="837" spans="1:1" ht="15.75" customHeight="1">
      <c r="A837" s="331"/>
    </row>
    <row r="838" spans="1:1" ht="15.75" customHeight="1">
      <c r="A838" s="331"/>
    </row>
    <row r="839" spans="1:1" ht="15.75" customHeight="1">
      <c r="A839" s="331"/>
    </row>
    <row r="840" spans="1:1" ht="15.75" customHeight="1">
      <c r="A840" s="331"/>
    </row>
    <row r="841" spans="1:1" ht="15.75" customHeight="1">
      <c r="A841" s="331"/>
    </row>
    <row r="842" spans="1:1" ht="15.75" customHeight="1">
      <c r="A842" s="331"/>
    </row>
    <row r="843" spans="1:1" ht="15.75" customHeight="1">
      <c r="A843" s="331"/>
    </row>
    <row r="844" spans="1:1" ht="15.75" customHeight="1">
      <c r="A844" s="331"/>
    </row>
    <row r="845" spans="1:1" ht="15.75" customHeight="1">
      <c r="A845" s="331"/>
    </row>
    <row r="846" spans="1:1" ht="15.75" customHeight="1">
      <c r="A846" s="331"/>
    </row>
    <row r="847" spans="1:1" ht="15.75" customHeight="1">
      <c r="A847" s="331"/>
    </row>
    <row r="848" spans="1:1" ht="15.75" customHeight="1">
      <c r="A848" s="331"/>
    </row>
    <row r="849" spans="1:1" ht="15.75" customHeight="1">
      <c r="A849" s="331"/>
    </row>
    <row r="850" spans="1:1" ht="15.75" customHeight="1">
      <c r="A850" s="331"/>
    </row>
    <row r="851" spans="1:1" ht="15.75" customHeight="1">
      <c r="A851" s="331"/>
    </row>
    <row r="852" spans="1:1" ht="15.75" customHeight="1">
      <c r="A852" s="331"/>
    </row>
    <row r="853" spans="1:1" ht="15.75" customHeight="1">
      <c r="A853" s="331"/>
    </row>
    <row r="854" spans="1:1" ht="15.75" customHeight="1">
      <c r="A854" s="331"/>
    </row>
    <row r="855" spans="1:1" ht="15.75" customHeight="1">
      <c r="A855" s="331"/>
    </row>
    <row r="856" spans="1:1" ht="15.75" customHeight="1">
      <c r="A856" s="331"/>
    </row>
    <row r="857" spans="1:1" ht="15.75" customHeight="1">
      <c r="A857" s="331"/>
    </row>
    <row r="858" spans="1:1" ht="15.75" customHeight="1">
      <c r="A858" s="331"/>
    </row>
    <row r="859" spans="1:1" ht="15.75" customHeight="1">
      <c r="A859" s="331"/>
    </row>
    <row r="860" spans="1:1" ht="15.75" customHeight="1">
      <c r="A860" s="331"/>
    </row>
    <row r="861" spans="1:1" ht="15.75" customHeight="1">
      <c r="A861" s="331"/>
    </row>
    <row r="862" spans="1:1" ht="15.75" customHeight="1">
      <c r="A862" s="331"/>
    </row>
    <row r="863" spans="1:1" ht="15.75" customHeight="1">
      <c r="A863" s="331"/>
    </row>
    <row r="864" spans="1:1" ht="15.75" customHeight="1">
      <c r="A864" s="331"/>
    </row>
    <row r="865" spans="1:1" ht="15.75" customHeight="1">
      <c r="A865" s="331"/>
    </row>
    <row r="866" spans="1:1" ht="15.75" customHeight="1">
      <c r="A866" s="331"/>
    </row>
    <row r="867" spans="1:1" ht="15.75" customHeight="1">
      <c r="A867" s="331"/>
    </row>
    <row r="868" spans="1:1" ht="15.75" customHeight="1">
      <c r="A868" s="331"/>
    </row>
    <row r="869" spans="1:1" ht="15.75" customHeight="1">
      <c r="A869" s="331"/>
    </row>
    <row r="870" spans="1:1" ht="15.75" customHeight="1">
      <c r="A870" s="331"/>
    </row>
    <row r="871" spans="1:1" ht="15.75" customHeight="1">
      <c r="A871" s="331"/>
    </row>
    <row r="872" spans="1:1" ht="15.75" customHeight="1">
      <c r="A872" s="331"/>
    </row>
    <row r="873" spans="1:1" ht="15.75" customHeight="1">
      <c r="A873" s="331"/>
    </row>
    <row r="874" spans="1:1" ht="15.75" customHeight="1">
      <c r="A874" s="331"/>
    </row>
    <row r="875" spans="1:1" ht="15.75" customHeight="1">
      <c r="A875" s="331"/>
    </row>
    <row r="876" spans="1:1" ht="15.75" customHeight="1">
      <c r="A876" s="331"/>
    </row>
    <row r="877" spans="1:1" ht="15.75" customHeight="1">
      <c r="A877" s="331"/>
    </row>
    <row r="878" spans="1:1" ht="15.75" customHeight="1">
      <c r="A878" s="331"/>
    </row>
    <row r="879" spans="1:1" ht="15.75" customHeight="1">
      <c r="A879" s="331"/>
    </row>
    <row r="880" spans="1:1" ht="15.75" customHeight="1">
      <c r="A880" s="331"/>
    </row>
    <row r="881" spans="1:1" ht="15.75" customHeight="1">
      <c r="A881" s="331"/>
    </row>
    <row r="882" spans="1:1" ht="15.75" customHeight="1">
      <c r="A882" s="331"/>
    </row>
    <row r="883" spans="1:1" ht="15.75" customHeight="1">
      <c r="A883" s="331"/>
    </row>
    <row r="884" spans="1:1" ht="15.75" customHeight="1">
      <c r="A884" s="331"/>
    </row>
    <row r="885" spans="1:1" ht="15.75" customHeight="1">
      <c r="A885" s="331"/>
    </row>
    <row r="886" spans="1:1" ht="15.75" customHeight="1">
      <c r="A886" s="331"/>
    </row>
    <row r="887" spans="1:1" ht="15.75" customHeight="1">
      <c r="A887" s="331"/>
    </row>
    <row r="888" spans="1:1" ht="15.75" customHeight="1">
      <c r="A888" s="331"/>
    </row>
    <row r="889" spans="1:1" ht="15.75" customHeight="1">
      <c r="A889" s="331"/>
    </row>
    <row r="890" spans="1:1" ht="15.75" customHeight="1">
      <c r="A890" s="331"/>
    </row>
    <row r="891" spans="1:1" ht="15.75" customHeight="1">
      <c r="A891" s="331"/>
    </row>
    <row r="892" spans="1:1" ht="15.75" customHeight="1">
      <c r="A892" s="331"/>
    </row>
    <row r="893" spans="1:1" ht="15.75" customHeight="1">
      <c r="A893" s="331"/>
    </row>
    <row r="894" spans="1:1" ht="15.75" customHeight="1">
      <c r="A894" s="331"/>
    </row>
    <row r="895" spans="1:1" ht="15.75" customHeight="1">
      <c r="A895" s="331"/>
    </row>
    <row r="896" spans="1:1" ht="15.75" customHeight="1">
      <c r="A896" s="331"/>
    </row>
    <row r="897" spans="1:1" ht="15.75" customHeight="1">
      <c r="A897" s="331"/>
    </row>
    <row r="898" spans="1:1" ht="15.75" customHeight="1">
      <c r="A898" s="331"/>
    </row>
    <row r="899" spans="1:1" ht="15.75" customHeight="1">
      <c r="A899" s="331"/>
    </row>
    <row r="900" spans="1:1" ht="15.75" customHeight="1">
      <c r="A900" s="331"/>
    </row>
    <row r="901" spans="1:1" ht="15.75" customHeight="1">
      <c r="A901" s="331"/>
    </row>
    <row r="902" spans="1:1" ht="15.75" customHeight="1">
      <c r="A902" s="331"/>
    </row>
    <row r="903" spans="1:1" ht="15.75" customHeight="1">
      <c r="A903" s="331"/>
    </row>
    <row r="904" spans="1:1" ht="15.75" customHeight="1">
      <c r="A904" s="331"/>
    </row>
    <row r="905" spans="1:1" ht="15.75" customHeight="1">
      <c r="A905" s="331"/>
    </row>
    <row r="906" spans="1:1" ht="15.75" customHeight="1">
      <c r="A906" s="331"/>
    </row>
    <row r="907" spans="1:1" ht="15.75" customHeight="1">
      <c r="A907" s="331"/>
    </row>
    <row r="908" spans="1:1" ht="15.75" customHeight="1">
      <c r="A908" s="331"/>
    </row>
    <row r="909" spans="1:1" ht="15.75" customHeight="1">
      <c r="A909" s="331"/>
    </row>
    <row r="910" spans="1:1" ht="15.75" customHeight="1">
      <c r="A910" s="331"/>
    </row>
    <row r="911" spans="1:1" ht="15.75" customHeight="1">
      <c r="A911" s="331"/>
    </row>
    <row r="912" spans="1:1" ht="15.75" customHeight="1">
      <c r="A912" s="331"/>
    </row>
    <row r="913" spans="1:1" ht="15.75" customHeight="1">
      <c r="A913" s="331"/>
    </row>
    <row r="914" spans="1:1" ht="15.75" customHeight="1">
      <c r="A914" s="331"/>
    </row>
    <row r="915" spans="1:1" ht="15.75" customHeight="1">
      <c r="A915" s="331"/>
    </row>
    <row r="916" spans="1:1" ht="15.75" customHeight="1">
      <c r="A916" s="331"/>
    </row>
    <row r="917" spans="1:1" ht="15.75" customHeight="1">
      <c r="A917" s="331"/>
    </row>
    <row r="918" spans="1:1" ht="15.75" customHeight="1">
      <c r="A918" s="331"/>
    </row>
    <row r="919" spans="1:1" ht="15.75" customHeight="1">
      <c r="A919" s="331"/>
    </row>
    <row r="920" spans="1:1" ht="15.75" customHeight="1">
      <c r="A920" s="331"/>
    </row>
    <row r="921" spans="1:1" ht="15.75" customHeight="1">
      <c r="A921" s="331"/>
    </row>
    <row r="922" spans="1:1" ht="15.75" customHeight="1">
      <c r="A922" s="331"/>
    </row>
    <row r="923" spans="1:1" ht="15.75" customHeight="1">
      <c r="A923" s="331"/>
    </row>
    <row r="924" spans="1:1" ht="15.75" customHeight="1">
      <c r="A924" s="331"/>
    </row>
    <row r="925" spans="1:1" ht="15.75" customHeight="1">
      <c r="A925" s="331"/>
    </row>
    <row r="926" spans="1:1" ht="15.75" customHeight="1">
      <c r="A926" s="331"/>
    </row>
    <row r="927" spans="1:1" ht="15.75" customHeight="1">
      <c r="A927" s="331"/>
    </row>
    <row r="928" spans="1:1" ht="15.75" customHeight="1">
      <c r="A928" s="331"/>
    </row>
    <row r="929" spans="1:1" ht="15.75" customHeight="1">
      <c r="A929" s="331"/>
    </row>
    <row r="930" spans="1:1" ht="15.75" customHeight="1">
      <c r="A930" s="331"/>
    </row>
    <row r="931" spans="1:1" ht="15.75" customHeight="1">
      <c r="A931" s="331"/>
    </row>
    <row r="932" spans="1:1" ht="15.75" customHeight="1">
      <c r="A932" s="331"/>
    </row>
    <row r="933" spans="1:1" ht="15.75" customHeight="1">
      <c r="A933" s="331"/>
    </row>
    <row r="934" spans="1:1" ht="15.75" customHeight="1">
      <c r="A934" s="331"/>
    </row>
    <row r="935" spans="1:1" ht="15.75" customHeight="1">
      <c r="A935" s="331"/>
    </row>
    <row r="936" spans="1:1" ht="15.75" customHeight="1">
      <c r="A936" s="331"/>
    </row>
    <row r="937" spans="1:1" ht="15.75" customHeight="1">
      <c r="A937" s="331"/>
    </row>
    <row r="938" spans="1:1" ht="15.75" customHeight="1">
      <c r="A938" s="331"/>
    </row>
    <row r="939" spans="1:1" ht="15.75" customHeight="1">
      <c r="A939" s="331"/>
    </row>
    <row r="940" spans="1:1" ht="15.75" customHeight="1">
      <c r="A940" s="331"/>
    </row>
    <row r="941" spans="1:1" ht="15.75" customHeight="1">
      <c r="A941" s="331"/>
    </row>
    <row r="942" spans="1:1" ht="15.75" customHeight="1">
      <c r="A942" s="331"/>
    </row>
    <row r="943" spans="1:1" ht="15.75" customHeight="1">
      <c r="A943" s="331"/>
    </row>
    <row r="944" spans="1:1" ht="15.75" customHeight="1">
      <c r="A944" s="331"/>
    </row>
    <row r="945" spans="1:1" ht="15.75" customHeight="1">
      <c r="A945" s="331"/>
    </row>
    <row r="946" spans="1:1" ht="15.75" customHeight="1">
      <c r="A946" s="331"/>
    </row>
    <row r="947" spans="1:1" ht="15.75" customHeight="1">
      <c r="A947" s="331"/>
    </row>
    <row r="948" spans="1:1" ht="15.75" customHeight="1">
      <c r="A948" s="331"/>
    </row>
    <row r="949" spans="1:1" ht="15.75" customHeight="1">
      <c r="A949" s="331"/>
    </row>
    <row r="950" spans="1:1" ht="15.75" customHeight="1">
      <c r="A950" s="331"/>
    </row>
    <row r="951" spans="1:1" ht="15.75" customHeight="1">
      <c r="A951" s="331"/>
    </row>
    <row r="952" spans="1:1" ht="15.75" customHeight="1">
      <c r="A952" s="331"/>
    </row>
    <row r="953" spans="1:1" ht="15.75" customHeight="1">
      <c r="A953" s="331"/>
    </row>
    <row r="954" spans="1:1" ht="15.75" customHeight="1">
      <c r="A954" s="331"/>
    </row>
    <row r="955" spans="1:1" ht="15.75" customHeight="1">
      <c r="A955" s="331"/>
    </row>
    <row r="956" spans="1:1" ht="15.75" customHeight="1">
      <c r="A956" s="331"/>
    </row>
    <row r="957" spans="1:1" ht="15.75" customHeight="1">
      <c r="A957" s="331"/>
    </row>
    <row r="958" spans="1:1" ht="15.75" customHeight="1">
      <c r="A958" s="331"/>
    </row>
    <row r="959" spans="1:1" ht="15.75" customHeight="1">
      <c r="A959" s="331"/>
    </row>
    <row r="960" spans="1:1" ht="15.75" customHeight="1">
      <c r="A960" s="331"/>
    </row>
    <row r="961" spans="1:1" ht="15.75" customHeight="1">
      <c r="A961" s="331"/>
    </row>
    <row r="962" spans="1:1" ht="15.75" customHeight="1">
      <c r="A962" s="331"/>
    </row>
    <row r="963" spans="1:1" ht="15.75" customHeight="1">
      <c r="A963" s="331"/>
    </row>
    <row r="964" spans="1:1" ht="15.75" customHeight="1">
      <c r="A964" s="331"/>
    </row>
    <row r="965" spans="1:1" ht="15.75" customHeight="1">
      <c r="A965" s="331"/>
    </row>
    <row r="966" spans="1:1" ht="15.75" customHeight="1">
      <c r="A966" s="331"/>
    </row>
    <row r="967" spans="1:1" ht="15.75" customHeight="1">
      <c r="A967" s="331"/>
    </row>
    <row r="968" spans="1:1" ht="15.75" customHeight="1">
      <c r="A968" s="331"/>
    </row>
    <row r="969" spans="1:1" ht="15.75" customHeight="1">
      <c r="A969" s="331"/>
    </row>
    <row r="970" spans="1:1" ht="15.75" customHeight="1">
      <c r="A970" s="331"/>
    </row>
    <row r="971" spans="1:1" ht="15.75" customHeight="1">
      <c r="A971" s="331"/>
    </row>
    <row r="972" spans="1:1" ht="15.75" customHeight="1">
      <c r="A972" s="331"/>
    </row>
    <row r="973" spans="1:1" ht="15.75" customHeight="1">
      <c r="A973" s="331"/>
    </row>
    <row r="974" spans="1:1" ht="15.75" customHeight="1">
      <c r="A974" s="331"/>
    </row>
    <row r="975" spans="1:1" ht="15.75" customHeight="1">
      <c r="A975" s="331"/>
    </row>
    <row r="976" spans="1:1" ht="15.75" customHeight="1">
      <c r="A976" s="331"/>
    </row>
    <row r="977" spans="1:1" ht="15.75" customHeight="1">
      <c r="A977" s="331"/>
    </row>
    <row r="978" spans="1:1" ht="15.75" customHeight="1">
      <c r="A978" s="331"/>
    </row>
    <row r="979" spans="1:1" ht="15.75" customHeight="1">
      <c r="A979" s="331"/>
    </row>
    <row r="980" spans="1:1" ht="15.75" customHeight="1">
      <c r="A980" s="331"/>
    </row>
    <row r="981" spans="1:1" ht="15.75" customHeight="1">
      <c r="A981" s="331"/>
    </row>
    <row r="982" spans="1:1" ht="15.75" customHeight="1">
      <c r="A982" s="331"/>
    </row>
    <row r="983" spans="1:1" ht="15.75" customHeight="1">
      <c r="A983" s="331"/>
    </row>
    <row r="984" spans="1:1" ht="15.75" customHeight="1">
      <c r="A984" s="331"/>
    </row>
    <row r="985" spans="1:1" ht="15.75" customHeight="1">
      <c r="A985" s="331"/>
    </row>
    <row r="986" spans="1:1" ht="15.75" customHeight="1">
      <c r="A986" s="331"/>
    </row>
    <row r="987" spans="1:1" ht="15.75" customHeight="1">
      <c r="A987" s="331"/>
    </row>
    <row r="988" spans="1:1" ht="15.75" customHeight="1">
      <c r="A988" s="331"/>
    </row>
    <row r="989" spans="1:1" ht="15.75" customHeight="1">
      <c r="A989" s="331"/>
    </row>
    <row r="990" spans="1:1" ht="15.75" customHeight="1">
      <c r="A990" s="331"/>
    </row>
    <row r="991" spans="1:1" ht="15.75" customHeight="1">
      <c r="A991" s="331"/>
    </row>
    <row r="992" spans="1:1" ht="15.75" customHeight="1">
      <c r="A992" s="331"/>
    </row>
    <row r="993" spans="1:1" ht="15.75" customHeight="1">
      <c r="A993" s="331"/>
    </row>
    <row r="994" spans="1:1" ht="15.75" customHeight="1">
      <c r="A994" s="331"/>
    </row>
    <row r="995" spans="1:1" ht="15.75" customHeight="1">
      <c r="A995" s="331"/>
    </row>
    <row r="996" spans="1:1" ht="15.75" customHeight="1">
      <c r="A996" s="331"/>
    </row>
    <row r="997" spans="1:1" ht="15.75" customHeight="1">
      <c r="A997" s="331"/>
    </row>
    <row r="998" spans="1:1" ht="15.75" customHeight="1">
      <c r="A998" s="331"/>
    </row>
    <row r="999" spans="1:1" ht="15.75" customHeight="1">
      <c r="A999" s="331"/>
    </row>
    <row r="1000" spans="1:1" ht="15.75" customHeight="1">
      <c r="A1000" s="331"/>
    </row>
    <row r="1001" spans="1:1" ht="15.75" customHeight="1">
      <c r="A1001" s="331"/>
    </row>
    <row r="1002" spans="1:1" ht="15.75" customHeight="1">
      <c r="A1002" s="331"/>
    </row>
    <row r="1003" spans="1:1" ht="15.75" customHeight="1">
      <c r="A1003" s="331"/>
    </row>
    <row r="1004" spans="1:1" ht="15.75" customHeight="1">
      <c r="A1004" s="331"/>
    </row>
    <row r="1005" spans="1:1" ht="15.75" customHeight="1">
      <c r="A1005" s="331"/>
    </row>
    <row r="1006" spans="1:1" ht="15.75" customHeight="1">
      <c r="A1006" s="331"/>
    </row>
    <row r="1007" spans="1:1" ht="15.75" customHeight="1">
      <c r="A1007" s="331"/>
    </row>
  </sheetData>
  <conditionalFormatting sqref="B11:C11">
    <cfRule type="colorScale" priority="1">
      <colorScale>
        <cfvo type="min" val="0"/>
        <cfvo type="max" val="0"/>
        <color rgb="FF57BB8A"/>
        <color rgb="FFFFFFFF"/>
      </colorScale>
    </cfRule>
  </conditionalFormatting>
  <pageMargins left="0.511811024" right="0.511811024" top="0.78740157499999996" bottom="0.78740157499999996" header="0" footer="0"/>
  <pageSetup orientation="landscape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FF00"/>
    <outlinePr summaryBelow="0" summaryRight="0"/>
  </sheetPr>
  <dimension ref="A1:AA1011"/>
  <sheetViews>
    <sheetView topLeftCell="A31" workbookViewId="0">
      <selection activeCell="A46" sqref="A46:XFD46"/>
    </sheetView>
  </sheetViews>
  <sheetFormatPr defaultColWidth="14.453125" defaultRowHeight="15" customHeight="1"/>
  <cols>
    <col min="1" max="1" width="3.7265625" customWidth="1"/>
    <col min="2" max="2" width="61.54296875" customWidth="1"/>
    <col min="3" max="3" width="41.26953125" customWidth="1"/>
    <col min="4" max="4" width="39.81640625" customWidth="1"/>
    <col min="5" max="5" width="13" customWidth="1"/>
    <col min="6" max="6" width="90.81640625" customWidth="1"/>
  </cols>
  <sheetData>
    <row r="1" spans="1:27" ht="15.5">
      <c r="A1" s="1" t="s">
        <v>0</v>
      </c>
      <c r="B1" s="1" t="s">
        <v>1</v>
      </c>
      <c r="C1" s="2" t="s">
        <v>2</v>
      </c>
      <c r="D1" s="1" t="s">
        <v>27</v>
      </c>
      <c r="E1" s="149"/>
      <c r="F1" s="1" t="s">
        <v>41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5">
      <c r="A2" s="4">
        <v>1</v>
      </c>
      <c r="B2" s="20" t="s">
        <v>795</v>
      </c>
      <c r="C2" s="20" t="s">
        <v>796</v>
      </c>
      <c r="D2" s="22"/>
      <c r="E2" s="31" t="s">
        <v>30</v>
      </c>
      <c r="F2" s="22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5">
      <c r="A3" s="8">
        <v>2</v>
      </c>
      <c r="B3" s="9" t="s">
        <v>797</v>
      </c>
      <c r="C3" s="31" t="s">
        <v>798</v>
      </c>
      <c r="D3" s="386"/>
      <c r="E3" s="31" t="s">
        <v>30</v>
      </c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5">
      <c r="A4" s="55">
        <v>4</v>
      </c>
      <c r="B4" s="23" t="s">
        <v>799</v>
      </c>
      <c r="C4" s="23" t="s">
        <v>800</v>
      </c>
      <c r="D4" s="68"/>
      <c r="E4" s="69" t="s">
        <v>78</v>
      </c>
      <c r="F4" s="23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5">
      <c r="A5" s="55">
        <v>6</v>
      </c>
      <c r="B5" s="23" t="s">
        <v>801</v>
      </c>
      <c r="C5" s="23" t="s">
        <v>802</v>
      </c>
      <c r="D5" s="68"/>
      <c r="E5" s="69" t="s">
        <v>78</v>
      </c>
      <c r="F5" s="38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5">
      <c r="A6" s="77">
        <v>9</v>
      </c>
      <c r="B6" s="42" t="s">
        <v>803</v>
      </c>
      <c r="C6" s="91" t="s">
        <v>804</v>
      </c>
      <c r="D6" s="388"/>
      <c r="E6" s="84" t="s">
        <v>17</v>
      </c>
      <c r="F6" s="2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5">
      <c r="A7" s="38">
        <v>10</v>
      </c>
      <c r="B7" s="42" t="s">
        <v>805</v>
      </c>
      <c r="C7" s="42" t="s">
        <v>806</v>
      </c>
      <c r="D7" s="76"/>
      <c r="E7" s="27" t="s">
        <v>7</v>
      </c>
      <c r="F7" s="2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5">
      <c r="A8" s="77">
        <v>11</v>
      </c>
      <c r="B8" s="42" t="s">
        <v>807</v>
      </c>
      <c r="C8" s="42" t="s">
        <v>808</v>
      </c>
      <c r="D8" s="257"/>
      <c r="E8" s="255" t="s">
        <v>17</v>
      </c>
      <c r="F8" s="2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5">
      <c r="A9" s="77">
        <v>12</v>
      </c>
      <c r="B9" s="110" t="s">
        <v>809</v>
      </c>
      <c r="C9" s="110" t="s">
        <v>810</v>
      </c>
      <c r="D9" s="109"/>
      <c r="E9" s="42" t="s">
        <v>17</v>
      </c>
      <c r="F9" s="2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5">
      <c r="A10" s="38">
        <v>13</v>
      </c>
      <c r="B10" s="42" t="s">
        <v>811</v>
      </c>
      <c r="C10" s="42" t="s">
        <v>812</v>
      </c>
      <c r="D10" s="99"/>
      <c r="E10" s="87" t="s">
        <v>7</v>
      </c>
      <c r="F10" s="180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spans="1:27" ht="15.5">
      <c r="A11" s="38">
        <v>14</v>
      </c>
      <c r="B11" s="42" t="s">
        <v>813</v>
      </c>
      <c r="C11" s="42" t="s">
        <v>814</v>
      </c>
      <c r="D11" s="169"/>
      <c r="E11" s="81" t="s">
        <v>17</v>
      </c>
      <c r="F11" s="2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5">
      <c r="A12" s="77">
        <v>15</v>
      </c>
      <c r="B12" s="42" t="s">
        <v>815</v>
      </c>
      <c r="C12" s="42">
        <v>83991313399</v>
      </c>
      <c r="D12" s="81"/>
      <c r="E12" s="81" t="s">
        <v>17</v>
      </c>
      <c r="F12" s="2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77">
        <v>17</v>
      </c>
      <c r="B13" s="251" t="s">
        <v>816</v>
      </c>
      <c r="C13" s="25" t="s">
        <v>817</v>
      </c>
      <c r="D13" s="87"/>
      <c r="E13" s="87" t="s">
        <v>17</v>
      </c>
      <c r="F13" s="2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77">
        <v>18</v>
      </c>
      <c r="B14" s="45" t="s">
        <v>818</v>
      </c>
      <c r="C14" s="45" t="s">
        <v>819</v>
      </c>
      <c r="D14" s="389"/>
      <c r="E14" s="87" t="s">
        <v>7</v>
      </c>
      <c r="F14" s="2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38">
        <v>19</v>
      </c>
      <c r="B15" s="45" t="s">
        <v>820</v>
      </c>
      <c r="C15" s="45" t="s">
        <v>821</v>
      </c>
      <c r="D15" s="390"/>
      <c r="E15" s="87" t="s">
        <v>17</v>
      </c>
      <c r="F15" s="2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77">
        <v>20</v>
      </c>
      <c r="B16" s="45" t="s">
        <v>822</v>
      </c>
      <c r="C16" s="112" t="s">
        <v>823</v>
      </c>
      <c r="D16" s="267"/>
      <c r="E16" s="81" t="s">
        <v>7</v>
      </c>
      <c r="F16" s="2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371">
        <v>23</v>
      </c>
      <c r="B17" s="391" t="s">
        <v>824</v>
      </c>
      <c r="C17" s="391" t="s">
        <v>825</v>
      </c>
      <c r="D17" s="82"/>
      <c r="E17" s="81" t="s">
        <v>17</v>
      </c>
      <c r="F17" s="2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77">
        <v>24</v>
      </c>
      <c r="B18" s="45" t="s">
        <v>826</v>
      </c>
      <c r="C18" s="45" t="s">
        <v>827</v>
      </c>
      <c r="D18" s="87"/>
      <c r="E18" s="87" t="s">
        <v>7</v>
      </c>
      <c r="F18" s="2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77">
        <v>25</v>
      </c>
      <c r="B19" s="45" t="s">
        <v>828</v>
      </c>
      <c r="C19" s="45">
        <v>83996715446</v>
      </c>
      <c r="D19" s="82"/>
      <c r="E19" s="81" t="s">
        <v>17</v>
      </c>
      <c r="F19" s="2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77">
        <v>26</v>
      </c>
      <c r="B20" s="45" t="s">
        <v>829</v>
      </c>
      <c r="C20" s="112" t="s">
        <v>830</v>
      </c>
      <c r="D20" s="91"/>
      <c r="E20" s="91" t="s">
        <v>17</v>
      </c>
      <c r="F20" s="2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77">
        <v>27</v>
      </c>
      <c r="B21" s="45" t="s">
        <v>831</v>
      </c>
      <c r="C21" s="112" t="s">
        <v>832</v>
      </c>
      <c r="D21" s="392"/>
      <c r="E21" s="393" t="s">
        <v>7</v>
      </c>
      <c r="F21" s="2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77">
        <v>28</v>
      </c>
      <c r="B22" s="45" t="s">
        <v>833</v>
      </c>
      <c r="C22" s="112" t="s">
        <v>834</v>
      </c>
      <c r="D22" s="86"/>
      <c r="E22" s="86" t="s">
        <v>7</v>
      </c>
      <c r="F22" s="2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77">
        <v>29</v>
      </c>
      <c r="B23" s="45" t="s">
        <v>835</v>
      </c>
      <c r="C23" s="112" t="s">
        <v>836</v>
      </c>
      <c r="D23" s="394"/>
      <c r="E23" s="84" t="s">
        <v>17</v>
      </c>
      <c r="F23" s="2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77">
        <v>30</v>
      </c>
      <c r="B24" s="45" t="s">
        <v>837</v>
      </c>
      <c r="C24" s="112">
        <v>83998171616</v>
      </c>
      <c r="D24" s="110"/>
      <c r="E24" s="42" t="s">
        <v>17</v>
      </c>
      <c r="F24" s="2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77">
        <v>31</v>
      </c>
      <c r="B25" s="45" t="s">
        <v>838</v>
      </c>
      <c r="C25" s="45">
        <v>83994173663</v>
      </c>
      <c r="D25" s="395"/>
      <c r="E25" s="81" t="s">
        <v>17</v>
      </c>
      <c r="F25" s="2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77">
        <v>32</v>
      </c>
      <c r="B26" s="45" t="s">
        <v>839</v>
      </c>
      <c r="C26" s="45">
        <v>83987700084</v>
      </c>
      <c r="D26" s="389"/>
      <c r="E26" s="87" t="s">
        <v>17</v>
      </c>
      <c r="F26" s="2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77">
        <v>33</v>
      </c>
      <c r="B27" s="45" t="s">
        <v>840</v>
      </c>
      <c r="C27" s="45" t="s">
        <v>841</v>
      </c>
      <c r="D27" s="81"/>
      <c r="E27" s="81" t="s">
        <v>7</v>
      </c>
      <c r="F27" s="2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77">
        <v>34</v>
      </c>
      <c r="B28" s="44" t="s">
        <v>842</v>
      </c>
      <c r="C28" s="44" t="s">
        <v>843</v>
      </c>
      <c r="D28" s="396"/>
      <c r="E28" s="27" t="s">
        <v>17</v>
      </c>
      <c r="F28" s="2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>
      <c r="A29" s="77">
        <v>35</v>
      </c>
      <c r="B29" s="45" t="s">
        <v>844</v>
      </c>
      <c r="C29" s="45" t="s">
        <v>845</v>
      </c>
      <c r="D29" s="84"/>
      <c r="E29" s="27" t="s">
        <v>17</v>
      </c>
      <c r="F29" s="2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customHeight="1">
      <c r="A30" s="397">
        <v>36</v>
      </c>
      <c r="B30" s="45" t="s">
        <v>846</v>
      </c>
      <c r="C30" s="112" t="s">
        <v>847</v>
      </c>
      <c r="D30" s="394"/>
      <c r="E30" s="27" t="s">
        <v>7</v>
      </c>
      <c r="F30" s="26"/>
      <c r="G30" s="398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  <c r="AA30" s="250"/>
    </row>
    <row r="31" spans="1:27" ht="15" customHeight="1">
      <c r="A31" s="397">
        <v>37</v>
      </c>
      <c r="B31" s="349" t="s">
        <v>848</v>
      </c>
      <c r="C31" s="350" t="s">
        <v>849</v>
      </c>
      <c r="D31" s="82"/>
      <c r="E31" s="81" t="s">
        <v>7</v>
      </c>
      <c r="F31" s="26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</row>
    <row r="32" spans="1:27" ht="15" customHeight="1">
      <c r="A32" s="283">
        <v>38</v>
      </c>
      <c r="B32" s="320" t="s">
        <v>850</v>
      </c>
      <c r="C32" s="184" t="s">
        <v>851</v>
      </c>
      <c r="D32" s="169"/>
      <c r="E32" s="81" t="s">
        <v>7</v>
      </c>
      <c r="F32" s="399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spans="1:27" ht="15" customHeight="1">
      <c r="A33" s="397">
        <v>40</v>
      </c>
      <c r="B33" s="45" t="s">
        <v>852</v>
      </c>
      <c r="C33" s="45" t="s">
        <v>853</v>
      </c>
      <c r="D33" s="392"/>
      <c r="E33" s="393" t="s">
        <v>17</v>
      </c>
      <c r="F33" s="26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</row>
    <row r="34" spans="1:27" ht="15" customHeight="1">
      <c r="A34" s="397">
        <v>41</v>
      </c>
      <c r="B34" s="349" t="s">
        <v>854</v>
      </c>
      <c r="C34" s="349" t="s">
        <v>855</v>
      </c>
      <c r="D34" s="82"/>
      <c r="E34" s="400" t="s">
        <v>17</v>
      </c>
      <c r="F34" s="26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</row>
    <row r="35" spans="1:27" ht="15" customHeight="1">
      <c r="A35" s="397">
        <v>42</v>
      </c>
      <c r="B35" s="349" t="s">
        <v>856</v>
      </c>
      <c r="C35" s="349" t="s">
        <v>857</v>
      </c>
      <c r="D35" s="259"/>
      <c r="E35" s="84" t="s">
        <v>17</v>
      </c>
      <c r="F35" s="26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</row>
    <row r="36" spans="1:27" ht="15" customHeight="1">
      <c r="A36" s="397">
        <v>43</v>
      </c>
      <c r="B36" s="44" t="s">
        <v>858</v>
      </c>
      <c r="C36" s="45" t="s">
        <v>859</v>
      </c>
      <c r="D36" s="259"/>
      <c r="E36" s="84" t="s">
        <v>17</v>
      </c>
      <c r="F36" s="252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</row>
    <row r="37" spans="1:27" ht="15" customHeight="1">
      <c r="A37" s="397">
        <v>44</v>
      </c>
      <c r="B37" s="45" t="s">
        <v>860</v>
      </c>
      <c r="C37" s="45" t="s">
        <v>861</v>
      </c>
      <c r="D37" s="42"/>
      <c r="E37" s="42" t="s">
        <v>7</v>
      </c>
      <c r="F37" s="252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</row>
    <row r="38" spans="1:27" ht="15" customHeight="1">
      <c r="A38" s="397">
        <v>45</v>
      </c>
      <c r="B38" s="273" t="s">
        <v>862</v>
      </c>
      <c r="C38" s="273">
        <v>83988941251</v>
      </c>
      <c r="D38" s="42"/>
      <c r="E38" s="42" t="s">
        <v>7</v>
      </c>
      <c r="F38" s="252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</row>
    <row r="39" spans="1:27" ht="15.5">
      <c r="A39" s="316">
        <v>47</v>
      </c>
      <c r="B39" s="349" t="s">
        <v>863</v>
      </c>
      <c r="C39" s="349" t="s">
        <v>864</v>
      </c>
      <c r="D39" s="268"/>
      <c r="E39" s="86" t="s">
        <v>7</v>
      </c>
      <c r="F39" s="9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" customHeight="1">
      <c r="A40" s="216">
        <v>48</v>
      </c>
      <c r="B40" s="349" t="s">
        <v>865</v>
      </c>
      <c r="C40" s="349" t="s">
        <v>866</v>
      </c>
      <c r="D40" s="257"/>
      <c r="E40" s="255" t="s">
        <v>7</v>
      </c>
      <c r="F40" s="255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</row>
    <row r="41" spans="1:27" ht="15" customHeight="1">
      <c r="A41" s="216">
        <v>49</v>
      </c>
      <c r="B41" s="401" t="s">
        <v>867</v>
      </c>
      <c r="C41" s="401" t="s">
        <v>868</v>
      </c>
      <c r="D41" s="257"/>
      <c r="E41" s="255" t="s">
        <v>7</v>
      </c>
      <c r="F41" s="255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</row>
    <row r="42" spans="1:27" ht="15" customHeight="1">
      <c r="A42" s="216">
        <v>50</v>
      </c>
      <c r="B42" s="45" t="s">
        <v>869</v>
      </c>
      <c r="C42" s="112" t="s">
        <v>870</v>
      </c>
      <c r="D42" s="257"/>
      <c r="E42" s="255" t="s">
        <v>17</v>
      </c>
      <c r="F42" s="255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</row>
    <row r="43" spans="1:27" ht="15" customHeight="1">
      <c r="A43" s="216">
        <v>51</v>
      </c>
      <c r="B43" s="103" t="s">
        <v>871</v>
      </c>
      <c r="C43" s="103" t="s">
        <v>872</v>
      </c>
      <c r="D43" s="257"/>
      <c r="E43" s="255" t="s">
        <v>7</v>
      </c>
      <c r="F43" s="255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</row>
    <row r="44" spans="1:27" ht="16.5" customHeight="1">
      <c r="A44" s="397">
        <v>52</v>
      </c>
      <c r="B44" s="349" t="s">
        <v>873</v>
      </c>
      <c r="C44" s="349" t="s">
        <v>874</v>
      </c>
      <c r="D44" s="255"/>
      <c r="E44" s="255" t="s">
        <v>7</v>
      </c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  <c r="AA44" s="252"/>
    </row>
    <row r="45" spans="1:27" ht="15" customHeight="1">
      <c r="A45" s="397">
        <v>53</v>
      </c>
      <c r="B45" s="108" t="s">
        <v>875</v>
      </c>
      <c r="C45" s="97" t="s">
        <v>876</v>
      </c>
      <c r="D45" s="255"/>
      <c r="E45" s="255" t="s">
        <v>7</v>
      </c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  <c r="AA45" s="252"/>
    </row>
    <row r="46" spans="1:27" ht="15" customHeight="1">
      <c r="A46" s="397">
        <v>55</v>
      </c>
      <c r="B46" s="45" t="s">
        <v>877</v>
      </c>
      <c r="C46" s="45" t="s">
        <v>878</v>
      </c>
      <c r="D46" s="255"/>
      <c r="E46" s="255" t="s">
        <v>7</v>
      </c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</row>
    <row r="47" spans="1:27" ht="15" customHeight="1">
      <c r="A47" s="397">
        <v>56</v>
      </c>
      <c r="B47" s="97" t="s">
        <v>879</v>
      </c>
      <c r="C47" s="97" t="s">
        <v>880</v>
      </c>
      <c r="D47" s="255"/>
      <c r="E47" s="255" t="s">
        <v>17</v>
      </c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  <c r="AA47" s="252"/>
    </row>
    <row r="48" spans="1:27" ht="15" customHeight="1">
      <c r="A48" s="397">
        <v>57</v>
      </c>
      <c r="B48" s="97" t="s">
        <v>881</v>
      </c>
      <c r="C48" s="97" t="s">
        <v>882</v>
      </c>
      <c r="D48" s="255"/>
      <c r="E48" s="255" t="s">
        <v>17</v>
      </c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</row>
    <row r="49" spans="1:27" ht="15" customHeight="1">
      <c r="A49" s="402">
        <v>58</v>
      </c>
      <c r="B49" s="218" t="s">
        <v>883</v>
      </c>
      <c r="C49" s="403" t="s">
        <v>884</v>
      </c>
      <c r="D49" s="404"/>
      <c r="E49" s="405" t="s">
        <v>704</v>
      </c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</row>
    <row r="50" spans="1:27" ht="15" customHeight="1">
      <c r="A50" s="402">
        <v>59</v>
      </c>
      <c r="B50" s="218" t="s">
        <v>885</v>
      </c>
      <c r="C50" s="218" t="s">
        <v>886</v>
      </c>
      <c r="D50" s="404"/>
      <c r="E50" s="405" t="s">
        <v>7</v>
      </c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</row>
    <row r="51" spans="1:27" ht="15" customHeight="1">
      <c r="A51" s="402">
        <v>60</v>
      </c>
      <c r="B51" s="218" t="s">
        <v>887</v>
      </c>
      <c r="C51" s="218" t="s">
        <v>888</v>
      </c>
      <c r="D51" s="404"/>
      <c r="E51" s="405" t="s">
        <v>17</v>
      </c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</row>
    <row r="52" spans="1:27" ht="15" customHeight="1">
      <c r="A52" s="402">
        <v>61</v>
      </c>
      <c r="B52" s="218" t="s">
        <v>889</v>
      </c>
      <c r="C52" s="218" t="s">
        <v>890</v>
      </c>
      <c r="D52" s="404"/>
      <c r="E52" s="405" t="s">
        <v>17</v>
      </c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</row>
    <row r="53" spans="1:27" ht="15" customHeight="1">
      <c r="A53" s="402">
        <v>62</v>
      </c>
      <c r="B53" s="218" t="s">
        <v>891</v>
      </c>
      <c r="C53" s="218" t="s">
        <v>892</v>
      </c>
      <c r="D53" s="404"/>
      <c r="E53" s="405" t="s">
        <v>17</v>
      </c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</row>
    <row r="54" spans="1:27" ht="15" customHeight="1">
      <c r="A54" s="402">
        <v>63</v>
      </c>
      <c r="B54" s="218" t="s">
        <v>893</v>
      </c>
      <c r="C54" s="218" t="s">
        <v>894</v>
      </c>
      <c r="D54" s="404"/>
      <c r="E54" s="405" t="s">
        <v>17</v>
      </c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</row>
    <row r="55" spans="1:27" ht="15" customHeight="1">
      <c r="A55" s="406">
        <v>64</v>
      </c>
      <c r="B55" s="97"/>
      <c r="C55" s="97"/>
      <c r="D55" s="255"/>
      <c r="E55" s="255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252"/>
    </row>
    <row r="56" spans="1:27" ht="15" customHeight="1">
      <c r="A56" s="406">
        <v>65</v>
      </c>
      <c r="B56" s="97"/>
      <c r="C56" s="97"/>
      <c r="D56" s="255"/>
      <c r="E56" s="255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</row>
    <row r="57" spans="1:27" ht="15" customHeight="1">
      <c r="A57" s="397"/>
      <c r="B57" s="97"/>
      <c r="C57" s="97"/>
      <c r="D57" s="255"/>
      <c r="E57" s="255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  <c r="AA57" s="252"/>
    </row>
    <row r="58" spans="1:27" ht="15" customHeight="1">
      <c r="A58" s="26"/>
      <c r="B58" s="407" t="s">
        <v>895</v>
      </c>
      <c r="C58" s="408"/>
      <c r="D58" s="27"/>
      <c r="E58" s="27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" customHeight="1">
      <c r="A59" s="26"/>
      <c r="B59" s="183" t="s">
        <v>177</v>
      </c>
      <c r="C59" s="25"/>
      <c r="D59" s="183" t="s">
        <v>35</v>
      </c>
      <c r="E59" s="27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5" customHeight="1">
      <c r="A60" s="26"/>
      <c r="B60" s="27" t="s">
        <v>36</v>
      </c>
      <c r="C60" s="25">
        <v>2</v>
      </c>
      <c r="D60" s="27" t="s">
        <v>36</v>
      </c>
      <c r="E60" s="27">
        <f>COUNTIF(E2:E29, "C")</f>
        <v>2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75" customHeight="1">
      <c r="A61" s="26"/>
      <c r="B61" s="27" t="s">
        <v>37</v>
      </c>
      <c r="C61" s="27">
        <v>17</v>
      </c>
      <c r="D61" s="27" t="s">
        <v>37</v>
      </c>
      <c r="E61" s="27">
        <f>COUNTIF(E2:E47, "H")</f>
        <v>20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15.75" customHeight="1">
      <c r="A62" s="26"/>
      <c r="B62" s="27" t="s">
        <v>38</v>
      </c>
      <c r="C62" s="27">
        <v>22</v>
      </c>
      <c r="D62" s="27" t="s">
        <v>38</v>
      </c>
      <c r="E62" s="27">
        <f>COUNTIF(E2:E47, "M")</f>
        <v>22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75" customHeight="1">
      <c r="A63" s="26"/>
      <c r="B63" s="27" t="s">
        <v>39</v>
      </c>
      <c r="C63" s="27">
        <v>2</v>
      </c>
      <c r="D63" s="27" t="s">
        <v>39</v>
      </c>
      <c r="E63" s="27">
        <f>COUNTIF(E2:E29, "Coord")</f>
        <v>2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15.75" customHeight="1">
      <c r="A64" s="26"/>
      <c r="B64" s="27" t="s">
        <v>40</v>
      </c>
      <c r="C64" s="27">
        <v>38</v>
      </c>
      <c r="D64" s="27" t="s">
        <v>40</v>
      </c>
      <c r="E64" s="27">
        <f>SUM(E60:E63)</f>
        <v>46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75" customHeight="1">
      <c r="A65" s="3"/>
      <c r="B65" s="50"/>
      <c r="C65" s="50"/>
      <c r="D65" s="50"/>
      <c r="E65" s="5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3"/>
      <c r="B66" s="50"/>
      <c r="C66" s="50"/>
      <c r="D66" s="50"/>
      <c r="E66" s="5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3"/>
      <c r="B67" s="50"/>
      <c r="C67" s="50"/>
      <c r="D67" s="50"/>
      <c r="E67" s="5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3"/>
      <c r="B68" s="50"/>
      <c r="C68" s="50"/>
      <c r="D68" s="50"/>
      <c r="E68" s="5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3"/>
      <c r="B69" s="50"/>
      <c r="C69" s="50"/>
      <c r="D69" s="50"/>
      <c r="E69" s="5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3"/>
      <c r="B70" s="50"/>
      <c r="C70" s="50"/>
      <c r="D70" s="50"/>
      <c r="E70" s="5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3"/>
      <c r="B71" s="50"/>
      <c r="C71" s="50"/>
      <c r="D71" s="50"/>
      <c r="E71" s="5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3"/>
      <c r="B72" s="50"/>
      <c r="C72" s="50"/>
      <c r="D72" s="50"/>
      <c r="E72" s="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3"/>
      <c r="B73" s="50"/>
      <c r="C73" s="50"/>
      <c r="D73" s="50"/>
      <c r="E73" s="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3"/>
      <c r="B74" s="50"/>
      <c r="C74" s="50"/>
      <c r="D74" s="50"/>
      <c r="E74" s="5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3"/>
      <c r="B75" s="50"/>
      <c r="C75" s="50"/>
      <c r="D75" s="50"/>
      <c r="E75" s="5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3"/>
      <c r="B76" s="50"/>
      <c r="C76" s="50"/>
      <c r="D76" s="50"/>
      <c r="E76" s="5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3"/>
      <c r="B77" s="50"/>
      <c r="C77" s="50"/>
      <c r="D77" s="50"/>
      <c r="E77" s="5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3"/>
      <c r="B78" s="50"/>
      <c r="C78" s="50"/>
      <c r="D78" s="50"/>
      <c r="E78" s="5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3"/>
      <c r="B79" s="50"/>
      <c r="C79" s="50"/>
      <c r="D79" s="50"/>
      <c r="E79" s="5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3"/>
      <c r="B80" s="50"/>
      <c r="C80" s="50"/>
      <c r="D80" s="50"/>
      <c r="E80" s="5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3"/>
      <c r="B81" s="50"/>
      <c r="C81" s="50"/>
      <c r="D81" s="50"/>
      <c r="E81" s="5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>
      <c r="A82" s="3"/>
      <c r="B82" s="50"/>
      <c r="C82" s="50"/>
      <c r="D82" s="50"/>
      <c r="E82" s="5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>
      <c r="A83" s="3"/>
      <c r="B83" s="50"/>
      <c r="C83" s="50"/>
      <c r="D83" s="50"/>
      <c r="E83" s="5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>
      <c r="A84" s="3"/>
      <c r="B84" s="50"/>
      <c r="C84" s="50"/>
      <c r="D84" s="50"/>
      <c r="E84" s="5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>
      <c r="A85" s="3"/>
      <c r="B85" s="50"/>
      <c r="C85" s="50"/>
      <c r="D85" s="50"/>
      <c r="E85" s="5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3"/>
      <c r="B86" s="50"/>
      <c r="C86" s="50"/>
      <c r="D86" s="50"/>
      <c r="E86" s="5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3"/>
      <c r="B87" s="50"/>
      <c r="C87" s="50"/>
      <c r="D87" s="50"/>
      <c r="E87" s="5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3"/>
      <c r="B88" s="50"/>
      <c r="C88" s="50"/>
      <c r="D88" s="50"/>
      <c r="E88" s="5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3"/>
      <c r="B89" s="50"/>
      <c r="C89" s="50"/>
      <c r="D89" s="50"/>
      <c r="E89" s="5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>
      <c r="A90" s="3"/>
      <c r="B90" s="50"/>
      <c r="C90" s="50"/>
      <c r="D90" s="50"/>
      <c r="E90" s="5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>
      <c r="A91" s="3"/>
      <c r="B91" s="50"/>
      <c r="C91" s="50"/>
      <c r="D91" s="50"/>
      <c r="E91" s="5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>
      <c r="A92" s="3"/>
      <c r="B92" s="50"/>
      <c r="C92" s="50"/>
      <c r="D92" s="50"/>
      <c r="E92" s="5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>
      <c r="A93" s="3"/>
      <c r="B93" s="50"/>
      <c r="C93" s="50"/>
      <c r="D93" s="50"/>
      <c r="E93" s="5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>
      <c r="A94" s="3"/>
      <c r="B94" s="50"/>
      <c r="C94" s="50"/>
      <c r="D94" s="50"/>
      <c r="E94" s="5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>
      <c r="A95" s="3"/>
      <c r="B95" s="50"/>
      <c r="C95" s="50"/>
      <c r="D95" s="50"/>
      <c r="E95" s="5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>
      <c r="A96" s="3"/>
      <c r="B96" s="50"/>
      <c r="C96" s="50"/>
      <c r="D96" s="50"/>
      <c r="E96" s="5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>
      <c r="A97" s="3"/>
      <c r="B97" s="50"/>
      <c r="C97" s="50"/>
      <c r="D97" s="50"/>
      <c r="E97" s="5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>
      <c r="A98" s="3"/>
      <c r="B98" s="50"/>
      <c r="C98" s="50"/>
      <c r="D98" s="50"/>
      <c r="E98" s="5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>
      <c r="A99" s="3"/>
      <c r="B99" s="50"/>
      <c r="C99" s="50"/>
      <c r="D99" s="50"/>
      <c r="E99" s="5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>
      <c r="A100" s="3"/>
      <c r="B100" s="50"/>
      <c r="C100" s="50"/>
      <c r="D100" s="50"/>
      <c r="E100" s="5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>
      <c r="A101" s="3"/>
      <c r="B101" s="50"/>
      <c r="C101" s="50"/>
      <c r="D101" s="50"/>
      <c r="E101" s="5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3"/>
      <c r="B102" s="50"/>
      <c r="C102" s="50"/>
      <c r="D102" s="50"/>
      <c r="E102" s="5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>
      <c r="A103" s="3"/>
      <c r="B103" s="50"/>
      <c r="C103" s="50"/>
      <c r="D103" s="50"/>
      <c r="E103" s="5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>
      <c r="A104" s="3"/>
      <c r="B104" s="50"/>
      <c r="C104" s="50"/>
      <c r="D104" s="50"/>
      <c r="E104" s="5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>
      <c r="A105" s="3"/>
      <c r="B105" s="50"/>
      <c r="C105" s="50"/>
      <c r="D105" s="50"/>
      <c r="E105" s="5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>
      <c r="A106" s="3"/>
      <c r="B106" s="50"/>
      <c r="C106" s="50"/>
      <c r="D106" s="50"/>
      <c r="E106" s="5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>
      <c r="A107" s="3"/>
      <c r="B107" s="50"/>
      <c r="C107" s="50"/>
      <c r="D107" s="50"/>
      <c r="E107" s="5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>
      <c r="A108" s="3"/>
      <c r="B108" s="50"/>
      <c r="C108" s="50"/>
      <c r="D108" s="50"/>
      <c r="E108" s="5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>
      <c r="A109" s="3"/>
      <c r="B109" s="50"/>
      <c r="C109" s="50"/>
      <c r="D109" s="50"/>
      <c r="E109" s="5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>
      <c r="A110" s="3"/>
      <c r="B110" s="50"/>
      <c r="C110" s="50"/>
      <c r="D110" s="50"/>
      <c r="E110" s="5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>
      <c r="A111" s="3"/>
      <c r="B111" s="50"/>
      <c r="C111" s="50"/>
      <c r="D111" s="50"/>
      <c r="E111" s="5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>
      <c r="A112" s="3"/>
      <c r="B112" s="50"/>
      <c r="C112" s="50"/>
      <c r="D112" s="50"/>
      <c r="E112" s="5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>
      <c r="A113" s="3"/>
      <c r="B113" s="50"/>
      <c r="C113" s="50"/>
      <c r="D113" s="50"/>
      <c r="E113" s="5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>
      <c r="A114" s="3"/>
      <c r="B114" s="50"/>
      <c r="C114" s="50"/>
      <c r="D114" s="50"/>
      <c r="E114" s="5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>
      <c r="A115" s="3"/>
      <c r="B115" s="50"/>
      <c r="C115" s="50"/>
      <c r="D115" s="50"/>
      <c r="E115" s="5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>
      <c r="A116" s="3"/>
      <c r="B116" s="50"/>
      <c r="C116" s="50"/>
      <c r="D116" s="50"/>
      <c r="E116" s="5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>
      <c r="A117" s="3"/>
      <c r="B117" s="50"/>
      <c r="C117" s="50"/>
      <c r="D117" s="50"/>
      <c r="E117" s="5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>
      <c r="A118" s="3"/>
      <c r="B118" s="50"/>
      <c r="C118" s="50"/>
      <c r="D118" s="50"/>
      <c r="E118" s="5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>
      <c r="A119" s="3"/>
      <c r="B119" s="50"/>
      <c r="C119" s="50"/>
      <c r="D119" s="50"/>
      <c r="E119" s="5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>
      <c r="A120" s="3"/>
      <c r="B120" s="50"/>
      <c r="C120" s="50"/>
      <c r="D120" s="50"/>
      <c r="E120" s="5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3"/>
      <c r="B121" s="50"/>
      <c r="C121" s="50"/>
      <c r="D121" s="50"/>
      <c r="E121" s="5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3"/>
      <c r="B122" s="50"/>
      <c r="C122" s="50"/>
      <c r="D122" s="50"/>
      <c r="E122" s="5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3"/>
      <c r="B123" s="50"/>
      <c r="C123" s="50"/>
      <c r="D123" s="50"/>
      <c r="E123" s="5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50"/>
      <c r="C124" s="50"/>
      <c r="D124" s="50"/>
      <c r="E124" s="5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50"/>
      <c r="C125" s="50"/>
      <c r="D125" s="50"/>
      <c r="E125" s="5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50"/>
      <c r="C126" s="50"/>
      <c r="D126" s="50"/>
      <c r="E126" s="5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50"/>
      <c r="C127" s="50"/>
      <c r="D127" s="50"/>
      <c r="E127" s="5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50"/>
      <c r="C128" s="50"/>
      <c r="D128" s="50"/>
      <c r="E128" s="5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50"/>
      <c r="C129" s="50"/>
      <c r="D129" s="50"/>
      <c r="E129" s="5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50"/>
      <c r="C130" s="50"/>
      <c r="D130" s="50"/>
      <c r="E130" s="5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50"/>
      <c r="C131" s="50"/>
      <c r="D131" s="50"/>
      <c r="E131" s="5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50"/>
      <c r="C132" s="50"/>
      <c r="D132" s="50"/>
      <c r="E132" s="5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50"/>
      <c r="C133" s="50"/>
      <c r="D133" s="50"/>
      <c r="E133" s="5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50"/>
      <c r="C134" s="50"/>
      <c r="D134" s="50"/>
      <c r="E134" s="5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50"/>
      <c r="C135" s="50"/>
      <c r="D135" s="50"/>
      <c r="E135" s="5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50"/>
      <c r="C136" s="50"/>
      <c r="D136" s="50"/>
      <c r="E136" s="5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>
      <c r="A137" s="3"/>
      <c r="B137" s="50"/>
      <c r="C137" s="50"/>
      <c r="D137" s="50"/>
      <c r="E137" s="5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>
      <c r="A138" s="3"/>
      <c r="B138" s="50"/>
      <c r="C138" s="50"/>
      <c r="D138" s="50"/>
      <c r="E138" s="5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>
      <c r="A139" s="3"/>
      <c r="B139" s="50"/>
      <c r="C139" s="50"/>
      <c r="D139" s="50"/>
      <c r="E139" s="5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>
      <c r="A140" s="3"/>
      <c r="B140" s="50"/>
      <c r="C140" s="50"/>
      <c r="D140" s="50"/>
      <c r="E140" s="5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>
      <c r="A141" s="3"/>
      <c r="B141" s="50"/>
      <c r="C141" s="50"/>
      <c r="D141" s="50"/>
      <c r="E141" s="5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>
      <c r="A142" s="3"/>
      <c r="B142" s="50"/>
      <c r="C142" s="50"/>
      <c r="D142" s="50"/>
      <c r="E142" s="5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>
      <c r="A143" s="3"/>
      <c r="B143" s="50"/>
      <c r="C143" s="50"/>
      <c r="D143" s="50"/>
      <c r="E143" s="5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>
      <c r="A144" s="3"/>
      <c r="B144" s="50"/>
      <c r="C144" s="50"/>
      <c r="D144" s="50"/>
      <c r="E144" s="5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>
      <c r="A145" s="3"/>
      <c r="B145" s="50"/>
      <c r="C145" s="50"/>
      <c r="D145" s="50"/>
      <c r="E145" s="5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>
      <c r="A146" s="3"/>
      <c r="B146" s="50"/>
      <c r="C146" s="50"/>
      <c r="D146" s="50"/>
      <c r="E146" s="5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>
      <c r="A147" s="3"/>
      <c r="B147" s="50"/>
      <c r="C147" s="50"/>
      <c r="D147" s="50"/>
      <c r="E147" s="5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>
      <c r="A148" s="3"/>
      <c r="B148" s="50"/>
      <c r="C148" s="50"/>
      <c r="D148" s="50"/>
      <c r="E148" s="5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>
      <c r="A149" s="3"/>
      <c r="B149" s="50"/>
      <c r="C149" s="50"/>
      <c r="D149" s="50"/>
      <c r="E149" s="5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>
      <c r="A150" s="3"/>
      <c r="B150" s="50"/>
      <c r="C150" s="50"/>
      <c r="D150" s="50"/>
      <c r="E150" s="5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>
      <c r="A151" s="3"/>
      <c r="B151" s="50"/>
      <c r="C151" s="50"/>
      <c r="D151" s="50"/>
      <c r="E151" s="5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>
      <c r="A152" s="3"/>
      <c r="B152" s="50"/>
      <c r="C152" s="50"/>
      <c r="D152" s="50"/>
      <c r="E152" s="5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>
      <c r="A153" s="3"/>
      <c r="B153" s="50"/>
      <c r="C153" s="50"/>
      <c r="D153" s="50"/>
      <c r="E153" s="5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>
      <c r="A154" s="3"/>
      <c r="B154" s="50"/>
      <c r="C154" s="50"/>
      <c r="D154" s="50"/>
      <c r="E154" s="5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>
      <c r="A155" s="3"/>
      <c r="B155" s="50"/>
      <c r="C155" s="50"/>
      <c r="D155" s="50"/>
      <c r="E155" s="5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>
      <c r="A156" s="3"/>
      <c r="B156" s="50"/>
      <c r="C156" s="50"/>
      <c r="D156" s="50"/>
      <c r="E156" s="5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>
      <c r="A157" s="3"/>
      <c r="B157" s="50"/>
      <c r="C157" s="50"/>
      <c r="D157" s="50"/>
      <c r="E157" s="5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>
      <c r="A158" s="3"/>
      <c r="B158" s="50"/>
      <c r="C158" s="50"/>
      <c r="D158" s="50"/>
      <c r="E158" s="5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>
      <c r="A159" s="3"/>
      <c r="B159" s="50"/>
      <c r="C159" s="50"/>
      <c r="D159" s="50"/>
      <c r="E159" s="5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>
      <c r="A160" s="3"/>
      <c r="B160" s="50"/>
      <c r="C160" s="50"/>
      <c r="D160" s="50"/>
      <c r="E160" s="5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>
      <c r="A161" s="3"/>
      <c r="B161" s="50"/>
      <c r="C161" s="50"/>
      <c r="D161" s="50"/>
      <c r="E161" s="5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>
      <c r="A162" s="3"/>
      <c r="B162" s="50"/>
      <c r="C162" s="50"/>
      <c r="D162" s="50"/>
      <c r="E162" s="5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>
      <c r="A163" s="3"/>
      <c r="B163" s="50"/>
      <c r="C163" s="50"/>
      <c r="D163" s="50"/>
      <c r="E163" s="5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>
      <c r="A164" s="3"/>
      <c r="B164" s="50"/>
      <c r="C164" s="50"/>
      <c r="D164" s="50"/>
      <c r="E164" s="5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>
      <c r="A165" s="3"/>
      <c r="B165" s="50"/>
      <c r="C165" s="50"/>
      <c r="D165" s="50"/>
      <c r="E165" s="5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>
      <c r="A166" s="3"/>
      <c r="B166" s="50"/>
      <c r="C166" s="50"/>
      <c r="D166" s="50"/>
      <c r="E166" s="5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>
      <c r="A167" s="3"/>
      <c r="B167" s="50"/>
      <c r="C167" s="50"/>
      <c r="D167" s="50"/>
      <c r="E167" s="5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>
      <c r="A168" s="3"/>
      <c r="B168" s="50"/>
      <c r="C168" s="50"/>
      <c r="D168" s="50"/>
      <c r="E168" s="5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>
      <c r="A169" s="3"/>
      <c r="B169" s="50"/>
      <c r="C169" s="50"/>
      <c r="D169" s="50"/>
      <c r="E169" s="5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>
      <c r="A170" s="3"/>
      <c r="B170" s="50"/>
      <c r="C170" s="50"/>
      <c r="D170" s="50"/>
      <c r="E170" s="5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>
      <c r="A171" s="3"/>
      <c r="B171" s="50"/>
      <c r="C171" s="50"/>
      <c r="D171" s="50"/>
      <c r="E171" s="5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>
      <c r="A172" s="3"/>
      <c r="B172" s="50"/>
      <c r="C172" s="50"/>
      <c r="D172" s="50"/>
      <c r="E172" s="5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>
      <c r="A173" s="3"/>
      <c r="B173" s="50"/>
      <c r="C173" s="50"/>
      <c r="D173" s="50"/>
      <c r="E173" s="5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>
      <c r="A174" s="3"/>
      <c r="B174" s="50"/>
      <c r="C174" s="50"/>
      <c r="D174" s="50"/>
      <c r="E174" s="5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>
      <c r="A175" s="3"/>
      <c r="B175" s="50"/>
      <c r="C175" s="50"/>
      <c r="D175" s="50"/>
      <c r="E175" s="5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>
      <c r="A176" s="3"/>
      <c r="B176" s="50"/>
      <c r="C176" s="50"/>
      <c r="D176" s="50"/>
      <c r="E176" s="5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>
      <c r="A177" s="3"/>
      <c r="B177" s="50"/>
      <c r="C177" s="50"/>
      <c r="D177" s="50"/>
      <c r="E177" s="5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>
      <c r="A178" s="3"/>
      <c r="B178" s="50"/>
      <c r="C178" s="50"/>
      <c r="D178" s="50"/>
      <c r="E178" s="5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>
      <c r="A179" s="3"/>
      <c r="B179" s="50"/>
      <c r="C179" s="50"/>
      <c r="D179" s="50"/>
      <c r="E179" s="5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>
      <c r="A180" s="3"/>
      <c r="B180" s="50"/>
      <c r="C180" s="50"/>
      <c r="D180" s="50"/>
      <c r="E180" s="5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>
      <c r="A181" s="3"/>
      <c r="B181" s="50"/>
      <c r="C181" s="50"/>
      <c r="D181" s="50"/>
      <c r="E181" s="5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>
      <c r="A182" s="3"/>
      <c r="B182" s="50"/>
      <c r="C182" s="50"/>
      <c r="D182" s="50"/>
      <c r="E182" s="5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>
      <c r="A183" s="3"/>
      <c r="B183" s="50"/>
      <c r="C183" s="50"/>
      <c r="D183" s="50"/>
      <c r="E183" s="5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>
      <c r="A184" s="3"/>
      <c r="B184" s="50"/>
      <c r="C184" s="50"/>
      <c r="D184" s="50"/>
      <c r="E184" s="5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>
      <c r="A185" s="3"/>
      <c r="B185" s="50"/>
      <c r="C185" s="50"/>
      <c r="D185" s="50"/>
      <c r="E185" s="5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>
      <c r="A186" s="3"/>
      <c r="B186" s="50"/>
      <c r="C186" s="50"/>
      <c r="D186" s="50"/>
      <c r="E186" s="5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>
      <c r="A187" s="3"/>
      <c r="B187" s="50"/>
      <c r="C187" s="50"/>
      <c r="D187" s="50"/>
      <c r="E187" s="5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>
      <c r="A188" s="3"/>
      <c r="B188" s="50"/>
      <c r="C188" s="50"/>
      <c r="D188" s="50"/>
      <c r="E188" s="5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>
      <c r="A189" s="3"/>
      <c r="B189" s="50"/>
      <c r="C189" s="50"/>
      <c r="D189" s="50"/>
      <c r="E189" s="5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>
      <c r="A190" s="3"/>
      <c r="B190" s="50"/>
      <c r="C190" s="50"/>
      <c r="D190" s="50"/>
      <c r="E190" s="5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>
      <c r="A191" s="3"/>
      <c r="B191" s="50"/>
      <c r="C191" s="50"/>
      <c r="D191" s="50"/>
      <c r="E191" s="5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>
      <c r="A192" s="3"/>
      <c r="B192" s="50"/>
      <c r="C192" s="50"/>
      <c r="D192" s="50"/>
      <c r="E192" s="5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>
      <c r="A193" s="3"/>
      <c r="B193" s="50"/>
      <c r="C193" s="50"/>
      <c r="D193" s="50"/>
      <c r="E193" s="5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>
      <c r="A194" s="3"/>
      <c r="B194" s="50"/>
      <c r="C194" s="50"/>
      <c r="D194" s="50"/>
      <c r="E194" s="5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>
      <c r="A195" s="3"/>
      <c r="B195" s="50"/>
      <c r="C195" s="50"/>
      <c r="D195" s="50"/>
      <c r="E195" s="5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>
      <c r="A196" s="3"/>
      <c r="B196" s="50"/>
      <c r="C196" s="50"/>
      <c r="D196" s="50"/>
      <c r="E196" s="5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>
      <c r="A197" s="3"/>
      <c r="B197" s="50"/>
      <c r="C197" s="50"/>
      <c r="D197" s="50"/>
      <c r="E197" s="5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>
      <c r="A198" s="3"/>
      <c r="B198" s="50"/>
      <c r="C198" s="50"/>
      <c r="D198" s="50"/>
      <c r="E198" s="5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>
      <c r="A199" s="3"/>
      <c r="B199" s="50"/>
      <c r="C199" s="50"/>
      <c r="D199" s="50"/>
      <c r="E199" s="5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>
      <c r="A200" s="3"/>
      <c r="B200" s="50"/>
      <c r="C200" s="50"/>
      <c r="D200" s="50"/>
      <c r="E200" s="5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>
      <c r="A201" s="3"/>
      <c r="B201" s="50"/>
      <c r="C201" s="50"/>
      <c r="D201" s="50"/>
      <c r="E201" s="5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>
      <c r="A202" s="3"/>
      <c r="B202" s="50"/>
      <c r="C202" s="50"/>
      <c r="D202" s="50"/>
      <c r="E202" s="5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>
      <c r="A203" s="3"/>
      <c r="B203" s="50"/>
      <c r="C203" s="50"/>
      <c r="D203" s="50"/>
      <c r="E203" s="5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>
      <c r="A204" s="3"/>
      <c r="B204" s="50"/>
      <c r="C204" s="50"/>
      <c r="D204" s="50"/>
      <c r="E204" s="5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>
      <c r="A205" s="3"/>
      <c r="B205" s="50"/>
      <c r="C205" s="50"/>
      <c r="D205" s="50"/>
      <c r="E205" s="5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>
      <c r="A206" s="3"/>
      <c r="B206" s="50"/>
      <c r="C206" s="50"/>
      <c r="D206" s="50"/>
      <c r="E206" s="5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>
      <c r="A207" s="3"/>
      <c r="B207" s="50"/>
      <c r="C207" s="50"/>
      <c r="D207" s="50"/>
      <c r="E207" s="5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>
      <c r="A208" s="3"/>
      <c r="B208" s="50"/>
      <c r="C208" s="50"/>
      <c r="D208" s="50"/>
      <c r="E208" s="5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>
      <c r="A209" s="3"/>
      <c r="B209" s="50"/>
      <c r="C209" s="50"/>
      <c r="D209" s="50"/>
      <c r="E209" s="5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>
      <c r="A210" s="3"/>
      <c r="B210" s="50"/>
      <c r="C210" s="50"/>
      <c r="D210" s="50"/>
      <c r="E210" s="5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>
      <c r="A211" s="3"/>
      <c r="B211" s="50"/>
      <c r="C211" s="50"/>
      <c r="D211" s="50"/>
      <c r="E211" s="5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>
      <c r="A212" s="3"/>
      <c r="B212" s="50"/>
      <c r="C212" s="50"/>
      <c r="D212" s="50"/>
      <c r="E212" s="5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>
      <c r="A213" s="3"/>
      <c r="B213" s="50"/>
      <c r="C213" s="50"/>
      <c r="D213" s="50"/>
      <c r="E213" s="5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>
      <c r="A214" s="3"/>
      <c r="B214" s="50"/>
      <c r="C214" s="50"/>
      <c r="D214" s="50"/>
      <c r="E214" s="5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>
      <c r="A215" s="3"/>
      <c r="B215" s="50"/>
      <c r="C215" s="50"/>
      <c r="D215" s="50"/>
      <c r="E215" s="5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>
      <c r="A216" s="3"/>
      <c r="B216" s="50"/>
      <c r="C216" s="50"/>
      <c r="D216" s="50"/>
      <c r="E216" s="5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>
      <c r="A217" s="3"/>
      <c r="B217" s="50"/>
      <c r="C217" s="50"/>
      <c r="D217" s="50"/>
      <c r="E217" s="5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>
      <c r="A218" s="3"/>
      <c r="B218" s="50"/>
      <c r="C218" s="50"/>
      <c r="D218" s="50"/>
      <c r="E218" s="5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>
      <c r="A219" s="3"/>
      <c r="B219" s="50"/>
      <c r="C219" s="50"/>
      <c r="D219" s="50"/>
      <c r="E219" s="5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3"/>
      <c r="B220" s="50"/>
      <c r="C220" s="50"/>
      <c r="D220" s="50"/>
      <c r="E220" s="5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>
      <c r="A221" s="3"/>
      <c r="B221" s="50"/>
      <c r="C221" s="50"/>
      <c r="D221" s="50"/>
      <c r="E221" s="5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>
      <c r="A222" s="3"/>
      <c r="B222" s="50"/>
      <c r="C222" s="50"/>
      <c r="D222" s="50"/>
      <c r="E222" s="5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>
      <c r="A223" s="3"/>
      <c r="B223" s="50"/>
      <c r="C223" s="50"/>
      <c r="D223" s="50"/>
      <c r="E223" s="5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>
      <c r="A224" s="3"/>
      <c r="B224" s="50"/>
      <c r="C224" s="50"/>
      <c r="D224" s="50"/>
      <c r="E224" s="5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>
      <c r="A225" s="3"/>
      <c r="B225" s="50"/>
      <c r="C225" s="50"/>
      <c r="D225" s="50"/>
      <c r="E225" s="5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>
      <c r="A226" s="3"/>
      <c r="B226" s="50"/>
      <c r="C226" s="50"/>
      <c r="D226" s="50"/>
      <c r="E226" s="5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>
      <c r="A227" s="3"/>
      <c r="B227" s="50"/>
      <c r="C227" s="50"/>
      <c r="D227" s="50"/>
      <c r="E227" s="5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>
      <c r="A228" s="3"/>
      <c r="B228" s="50"/>
      <c r="C228" s="50"/>
      <c r="D228" s="50"/>
      <c r="E228" s="5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>
      <c r="A229" s="3"/>
      <c r="B229" s="50"/>
      <c r="C229" s="50"/>
      <c r="D229" s="50"/>
      <c r="E229" s="5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>
      <c r="A230" s="3"/>
      <c r="B230" s="50"/>
      <c r="C230" s="50"/>
      <c r="D230" s="50"/>
      <c r="E230" s="5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>
      <c r="A231" s="3"/>
      <c r="B231" s="50"/>
      <c r="C231" s="50"/>
      <c r="D231" s="50"/>
      <c r="E231" s="5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>
      <c r="A232" s="3"/>
      <c r="B232" s="50"/>
      <c r="C232" s="50"/>
      <c r="D232" s="50"/>
      <c r="E232" s="5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>
      <c r="A233" s="3"/>
      <c r="B233" s="50"/>
      <c r="C233" s="50"/>
      <c r="D233" s="50"/>
      <c r="E233" s="5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>
      <c r="A234" s="3"/>
      <c r="B234" s="50"/>
      <c r="C234" s="50"/>
      <c r="D234" s="50"/>
      <c r="E234" s="5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>
      <c r="A235" s="3"/>
      <c r="B235" s="50"/>
      <c r="C235" s="50"/>
      <c r="D235" s="50"/>
      <c r="E235" s="5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>
      <c r="A236" s="3"/>
      <c r="B236" s="50"/>
      <c r="C236" s="50"/>
      <c r="D236" s="50"/>
      <c r="E236" s="5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>
      <c r="A237" s="3"/>
      <c r="B237" s="50"/>
      <c r="C237" s="50"/>
      <c r="D237" s="50"/>
      <c r="E237" s="5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>
      <c r="A238" s="3"/>
      <c r="B238" s="50"/>
      <c r="C238" s="50"/>
      <c r="D238" s="50"/>
      <c r="E238" s="5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>
      <c r="A239" s="3"/>
      <c r="B239" s="50"/>
      <c r="C239" s="50"/>
      <c r="D239" s="50"/>
      <c r="E239" s="5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>
      <c r="A240" s="3"/>
      <c r="B240" s="50"/>
      <c r="C240" s="50"/>
      <c r="D240" s="50"/>
      <c r="E240" s="5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>
      <c r="A241" s="3"/>
      <c r="B241" s="50"/>
      <c r="C241" s="50"/>
      <c r="D241" s="50"/>
      <c r="E241" s="5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>
      <c r="A242" s="3"/>
      <c r="B242" s="50"/>
      <c r="C242" s="50"/>
      <c r="D242" s="50"/>
      <c r="E242" s="5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>
      <c r="A243" s="3"/>
      <c r="B243" s="50"/>
      <c r="C243" s="50"/>
      <c r="D243" s="50"/>
      <c r="E243" s="5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>
      <c r="A244" s="3"/>
      <c r="B244" s="50"/>
      <c r="C244" s="50"/>
      <c r="D244" s="50"/>
      <c r="E244" s="5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>
      <c r="A245" s="3"/>
      <c r="B245" s="50"/>
      <c r="C245" s="50"/>
      <c r="D245" s="50"/>
      <c r="E245" s="5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>
      <c r="A246" s="3"/>
      <c r="B246" s="50"/>
      <c r="C246" s="50"/>
      <c r="D246" s="50"/>
      <c r="E246" s="5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>
      <c r="A247" s="3"/>
      <c r="B247" s="50"/>
      <c r="C247" s="50"/>
      <c r="D247" s="50"/>
      <c r="E247" s="5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>
      <c r="A248" s="3"/>
      <c r="B248" s="50"/>
      <c r="C248" s="50"/>
      <c r="D248" s="50"/>
      <c r="E248" s="5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>
      <c r="A249" s="3"/>
      <c r="B249" s="50"/>
      <c r="C249" s="50"/>
      <c r="D249" s="50"/>
      <c r="E249" s="5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>
      <c r="A250" s="3"/>
      <c r="B250" s="50"/>
      <c r="C250" s="50"/>
      <c r="D250" s="50"/>
      <c r="E250" s="5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>
      <c r="A251" s="3"/>
      <c r="B251" s="50"/>
      <c r="C251" s="50"/>
      <c r="D251" s="50"/>
      <c r="E251" s="5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>
      <c r="A252" s="3"/>
      <c r="B252" s="50"/>
      <c r="C252" s="50"/>
      <c r="D252" s="50"/>
      <c r="E252" s="5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>
      <c r="A253" s="3"/>
      <c r="B253" s="50"/>
      <c r="C253" s="50"/>
      <c r="D253" s="50"/>
      <c r="E253" s="5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>
      <c r="A254" s="3"/>
      <c r="B254" s="50"/>
      <c r="C254" s="50"/>
      <c r="D254" s="50"/>
      <c r="E254" s="5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>
      <c r="A255" s="3"/>
      <c r="B255" s="50"/>
      <c r="C255" s="50"/>
      <c r="D255" s="50"/>
      <c r="E255" s="5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>
      <c r="A256" s="3"/>
      <c r="B256" s="50"/>
      <c r="C256" s="50"/>
      <c r="D256" s="50"/>
      <c r="E256" s="5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>
      <c r="A257" s="3"/>
      <c r="B257" s="50"/>
      <c r="C257" s="50"/>
      <c r="D257" s="50"/>
      <c r="E257" s="5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>
      <c r="A258" s="3"/>
      <c r="B258" s="50"/>
      <c r="C258" s="50"/>
      <c r="D258" s="50"/>
      <c r="E258" s="5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>
      <c r="A259" s="3"/>
      <c r="B259" s="50"/>
      <c r="C259" s="50"/>
      <c r="D259" s="50"/>
      <c r="E259" s="5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>
      <c r="A260" s="3"/>
      <c r="B260" s="50"/>
      <c r="C260" s="50"/>
      <c r="D260" s="50"/>
      <c r="E260" s="5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>
      <c r="A261" s="3"/>
      <c r="B261" s="50"/>
      <c r="C261" s="50"/>
      <c r="D261" s="50"/>
      <c r="E261" s="50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>
      <c r="A262" s="3"/>
      <c r="B262" s="50"/>
      <c r="C262" s="50"/>
      <c r="D262" s="50"/>
      <c r="E262" s="5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>
      <c r="A263" s="3"/>
      <c r="B263" s="50"/>
      <c r="C263" s="50"/>
      <c r="D263" s="50"/>
      <c r="E263" s="50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>
      <c r="A264" s="3"/>
      <c r="B264" s="50"/>
      <c r="C264" s="50"/>
      <c r="D264" s="50"/>
      <c r="E264" s="50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/>
    <row r="266" spans="1:27" ht="15.75" customHeight="1"/>
    <row r="267" spans="1:27" ht="15.75" customHeight="1"/>
    <row r="268" spans="1:27" ht="15.75" customHeight="1"/>
    <row r="269" spans="1:27" ht="15.75" customHeight="1"/>
    <row r="270" spans="1:27" ht="15.75" customHeight="1"/>
    <row r="271" spans="1:27" ht="15.75" customHeight="1"/>
    <row r="272" spans="1:2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conditionalFormatting sqref="B25">
    <cfRule type="colorScale" priority="2">
      <colorScale>
        <cfvo type="min" val="0"/>
        <cfvo type="max" val="0"/>
        <color rgb="FF57BB8A"/>
        <color rgb="FFFFFFFF"/>
      </colorScale>
    </cfRule>
  </conditionalFormatting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FF00"/>
    <outlinePr summaryBelow="0" summaryRight="0"/>
  </sheetPr>
  <dimension ref="A1:Z1009"/>
  <sheetViews>
    <sheetView workbookViewId="0">
      <selection activeCell="A15" sqref="A15:XFD15"/>
    </sheetView>
  </sheetViews>
  <sheetFormatPr defaultColWidth="14.453125" defaultRowHeight="15" customHeight="1"/>
  <cols>
    <col min="1" max="1" width="3.7265625" customWidth="1"/>
    <col min="2" max="2" width="68.7265625" customWidth="1"/>
    <col min="3" max="3" width="44.26953125" customWidth="1"/>
    <col min="4" max="4" width="40.26953125" customWidth="1"/>
    <col min="5" max="5" width="12" customWidth="1"/>
    <col min="6" max="6" width="81.26953125" customWidth="1"/>
  </cols>
  <sheetData>
    <row r="1" spans="1:26" ht="15.5">
      <c r="A1" s="1" t="s">
        <v>0</v>
      </c>
      <c r="B1" s="1" t="s">
        <v>1</v>
      </c>
      <c r="C1" s="2" t="s">
        <v>2</v>
      </c>
      <c r="D1" s="1" t="s">
        <v>27</v>
      </c>
      <c r="E1" s="149"/>
      <c r="F1" s="1" t="s">
        <v>41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5">
      <c r="A2" s="8">
        <v>1</v>
      </c>
      <c r="B2" s="20" t="s">
        <v>896</v>
      </c>
      <c r="C2" s="20" t="s">
        <v>897</v>
      </c>
      <c r="D2" s="21"/>
      <c r="E2" s="7" t="s">
        <v>30</v>
      </c>
      <c r="F2" s="22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5">
      <c r="A3" s="409">
        <v>2</v>
      </c>
      <c r="B3" s="9" t="s">
        <v>898</v>
      </c>
      <c r="C3" s="9" t="s">
        <v>899</v>
      </c>
      <c r="D3" s="386"/>
      <c r="E3" s="31" t="s">
        <v>30</v>
      </c>
      <c r="F3" s="410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.5">
      <c r="A4" s="162">
        <v>3</v>
      </c>
      <c r="B4" s="201" t="s">
        <v>900</v>
      </c>
      <c r="C4" s="411" t="s">
        <v>901</v>
      </c>
      <c r="D4" s="161"/>
      <c r="E4" s="243" t="s">
        <v>78</v>
      </c>
      <c r="F4" s="236"/>
      <c r="G4" s="412"/>
      <c r="H4" s="412"/>
      <c r="I4" s="412"/>
      <c r="J4" s="412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412"/>
    </row>
    <row r="5" spans="1:26" ht="15.5">
      <c r="A5" s="158"/>
      <c r="B5" s="23" t="s">
        <v>902</v>
      </c>
      <c r="C5" s="165" t="s">
        <v>903</v>
      </c>
      <c r="D5" s="413"/>
      <c r="E5" s="69" t="s">
        <v>78</v>
      </c>
      <c r="F5" s="68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</row>
    <row r="6" spans="1:26" ht="15.5">
      <c r="A6" s="158">
        <v>4</v>
      </c>
      <c r="B6" s="23" t="s">
        <v>904</v>
      </c>
      <c r="C6" s="415" t="s">
        <v>905</v>
      </c>
      <c r="D6" s="334"/>
      <c r="E6" s="69" t="s">
        <v>78</v>
      </c>
      <c r="F6" s="68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  <c r="Z6" s="414"/>
    </row>
    <row r="7" spans="1:26" ht="15.5">
      <c r="A7" s="224">
        <v>5</v>
      </c>
      <c r="B7" s="84" t="s">
        <v>906</v>
      </c>
      <c r="C7" s="84" t="s">
        <v>907</v>
      </c>
      <c r="D7" s="168"/>
      <c r="E7" s="42" t="s">
        <v>17</v>
      </c>
      <c r="F7" s="2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5">
      <c r="A8" s="224">
        <v>6</v>
      </c>
      <c r="B8" s="84" t="s">
        <v>908</v>
      </c>
      <c r="C8" s="84" t="s">
        <v>909</v>
      </c>
      <c r="D8" s="27"/>
      <c r="E8" s="27" t="s">
        <v>17</v>
      </c>
      <c r="F8" s="2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5">
      <c r="A9" s="167">
        <v>7</v>
      </c>
      <c r="B9" s="84" t="s">
        <v>910</v>
      </c>
      <c r="C9" s="84" t="s">
        <v>911</v>
      </c>
      <c r="D9" s="416"/>
      <c r="E9" s="42" t="s">
        <v>17</v>
      </c>
      <c r="F9" s="2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5">
      <c r="A10" s="167">
        <v>8</v>
      </c>
      <c r="B10" s="37" t="s">
        <v>912</v>
      </c>
      <c r="C10" s="37" t="s">
        <v>913</v>
      </c>
      <c r="D10" s="84"/>
      <c r="E10" s="84" t="s">
        <v>17</v>
      </c>
      <c r="F10" s="2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5">
      <c r="A11" s="167">
        <v>9</v>
      </c>
      <c r="B11" s="42" t="s">
        <v>914</v>
      </c>
      <c r="C11" s="81" t="s">
        <v>915</v>
      </c>
      <c r="D11" s="395"/>
      <c r="E11" s="81" t="s">
        <v>17</v>
      </c>
      <c r="F11" s="18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5">
      <c r="A12" s="167">
        <v>10</v>
      </c>
      <c r="B12" s="84" t="s">
        <v>916</v>
      </c>
      <c r="C12" s="84" t="s">
        <v>917</v>
      </c>
      <c r="D12" s="81"/>
      <c r="E12" s="42" t="s">
        <v>17</v>
      </c>
      <c r="F12" s="2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5">
      <c r="A13" s="167">
        <v>12</v>
      </c>
      <c r="B13" s="36" t="s">
        <v>918</v>
      </c>
      <c r="C13" s="42" t="s">
        <v>919</v>
      </c>
      <c r="D13" s="106"/>
      <c r="E13" s="86" t="s">
        <v>17</v>
      </c>
      <c r="F13" s="2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5">
      <c r="A14" s="224">
        <v>13</v>
      </c>
      <c r="D14" s="86"/>
      <c r="E14" s="86" t="s">
        <v>17</v>
      </c>
      <c r="F14" s="2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5">
      <c r="A15" s="167">
        <v>15</v>
      </c>
      <c r="B15" s="36" t="s">
        <v>920</v>
      </c>
      <c r="C15" s="36" t="s">
        <v>921</v>
      </c>
      <c r="D15" s="394"/>
      <c r="E15" s="27" t="s">
        <v>7</v>
      </c>
      <c r="F15" s="18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5">
      <c r="A16" s="167">
        <v>16</v>
      </c>
      <c r="B16" s="42" t="s">
        <v>922</v>
      </c>
      <c r="C16" s="42" t="s">
        <v>923</v>
      </c>
      <c r="D16" s="27"/>
      <c r="E16" s="27" t="s">
        <v>7</v>
      </c>
      <c r="F16" s="18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5">
      <c r="A17" s="167">
        <v>17</v>
      </c>
      <c r="B17" s="84" t="s">
        <v>924</v>
      </c>
      <c r="C17" s="84" t="s">
        <v>925</v>
      </c>
      <c r="D17" s="292"/>
      <c r="E17" s="84" t="s">
        <v>17</v>
      </c>
      <c r="F17" s="18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5">
      <c r="A18" s="167">
        <v>18</v>
      </c>
      <c r="B18" s="45" t="s">
        <v>926</v>
      </c>
      <c r="C18" s="45" t="s">
        <v>12</v>
      </c>
      <c r="D18" s="75"/>
      <c r="E18" s="27" t="s">
        <v>7</v>
      </c>
      <c r="F18" s="18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5">
      <c r="A19" s="167">
        <v>19</v>
      </c>
      <c r="B19" s="270" t="s">
        <v>927</v>
      </c>
      <c r="C19" s="45" t="s">
        <v>928</v>
      </c>
      <c r="D19" s="81"/>
      <c r="E19" s="81" t="s">
        <v>17</v>
      </c>
      <c r="F19" s="18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5">
      <c r="A20" s="167">
        <v>20</v>
      </c>
      <c r="B20" s="45" t="s">
        <v>929</v>
      </c>
      <c r="C20" s="45" t="s">
        <v>930</v>
      </c>
      <c r="D20" s="76"/>
      <c r="E20" s="27" t="s">
        <v>17</v>
      </c>
      <c r="F20" s="18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5">
      <c r="A21" s="167">
        <v>21</v>
      </c>
      <c r="B21" s="120" t="s">
        <v>931</v>
      </c>
      <c r="C21" s="120" t="s">
        <v>932</v>
      </c>
      <c r="D21" s="27"/>
      <c r="E21" s="27" t="s">
        <v>7</v>
      </c>
      <c r="F21" s="18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5">
      <c r="A22" s="167">
        <v>22</v>
      </c>
      <c r="B22" s="120" t="s">
        <v>933</v>
      </c>
      <c r="C22" s="120" t="s">
        <v>934</v>
      </c>
      <c r="D22" s="86"/>
      <c r="E22" s="86" t="s">
        <v>17</v>
      </c>
      <c r="F22" s="18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5">
      <c r="A23" s="167">
        <v>23</v>
      </c>
      <c r="B23" s="120" t="s">
        <v>935</v>
      </c>
      <c r="C23" s="120" t="s">
        <v>936</v>
      </c>
      <c r="D23" s="27"/>
      <c r="E23" s="27" t="s">
        <v>7</v>
      </c>
      <c r="F23" s="18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5">
      <c r="A24" s="167">
        <v>24</v>
      </c>
      <c r="B24" s="120" t="s">
        <v>937</v>
      </c>
      <c r="C24" s="120" t="s">
        <v>938</v>
      </c>
      <c r="D24" s="27"/>
      <c r="E24" s="27" t="s">
        <v>7</v>
      </c>
      <c r="F24" s="18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5">
      <c r="A25" s="167">
        <v>25</v>
      </c>
      <c r="B25" s="45" t="s">
        <v>939</v>
      </c>
      <c r="C25" s="45" t="s">
        <v>940</v>
      </c>
      <c r="D25" s="42"/>
      <c r="E25" s="27" t="s">
        <v>17</v>
      </c>
      <c r="F25" s="18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5">
      <c r="A26" s="167">
        <v>26</v>
      </c>
      <c r="B26" s="45" t="s">
        <v>941</v>
      </c>
      <c r="C26" s="45" t="s">
        <v>942</v>
      </c>
      <c r="D26" s="27"/>
      <c r="E26" s="11" t="s">
        <v>17</v>
      </c>
      <c r="F26" s="18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5">
      <c r="A27" s="167">
        <v>27</v>
      </c>
      <c r="B27" s="45" t="s">
        <v>943</v>
      </c>
      <c r="C27" s="45" t="s">
        <v>944</v>
      </c>
      <c r="D27" s="27"/>
      <c r="E27" s="27" t="s">
        <v>17</v>
      </c>
      <c r="F27" s="18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5">
      <c r="A28" s="167">
        <v>28</v>
      </c>
      <c r="B28" s="45" t="s">
        <v>945</v>
      </c>
      <c r="C28" s="45" t="s">
        <v>946</v>
      </c>
      <c r="D28" s="27"/>
      <c r="E28" s="27" t="s">
        <v>17</v>
      </c>
      <c r="F28" s="18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5">
      <c r="A29" s="167">
        <v>29</v>
      </c>
      <c r="B29" s="44" t="s">
        <v>947</v>
      </c>
      <c r="C29" s="103" t="s">
        <v>948</v>
      </c>
      <c r="D29" s="27"/>
      <c r="E29" s="27" t="s">
        <v>7</v>
      </c>
      <c r="F29" s="18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5">
      <c r="A30" s="167">
        <v>30</v>
      </c>
      <c r="B30" s="45" t="s">
        <v>949</v>
      </c>
      <c r="C30" s="45" t="s">
        <v>950</v>
      </c>
      <c r="D30" s="27"/>
      <c r="E30" s="27" t="s">
        <v>7</v>
      </c>
      <c r="F30" s="18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5">
      <c r="A31" s="167">
        <v>32</v>
      </c>
      <c r="B31" s="45" t="s">
        <v>951</v>
      </c>
      <c r="C31" s="45" t="s">
        <v>952</v>
      </c>
      <c r="D31" s="27"/>
      <c r="E31" s="27" t="s">
        <v>7</v>
      </c>
      <c r="F31" s="180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5">
      <c r="A32" s="167">
        <v>33</v>
      </c>
      <c r="B32" s="120" t="s">
        <v>953</v>
      </c>
      <c r="C32" s="120" t="s">
        <v>954</v>
      </c>
      <c r="D32" s="27"/>
      <c r="E32" s="27" t="s">
        <v>17</v>
      </c>
      <c r="F32" s="180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5">
      <c r="A33" s="167">
        <v>34</v>
      </c>
      <c r="B33" s="120" t="s">
        <v>955</v>
      </c>
      <c r="C33" s="120" t="s">
        <v>956</v>
      </c>
      <c r="D33" s="27"/>
      <c r="E33" s="27" t="s">
        <v>17</v>
      </c>
      <c r="F33" s="180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5">
      <c r="A34" s="167">
        <v>35</v>
      </c>
      <c r="B34" s="45" t="s">
        <v>957</v>
      </c>
      <c r="C34" s="45" t="s">
        <v>958</v>
      </c>
      <c r="D34" s="27"/>
      <c r="E34" s="27" t="s">
        <v>17</v>
      </c>
      <c r="F34" s="4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46"/>
      <c r="D35" s="417"/>
      <c r="E35" s="5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46"/>
      <c r="B36" s="135" t="s">
        <v>349</v>
      </c>
      <c r="C36" s="380"/>
      <c r="D36" s="140" t="s">
        <v>35</v>
      </c>
      <c r="E36" s="5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customHeight="1">
      <c r="A37" s="3"/>
      <c r="B37" s="140" t="s">
        <v>177</v>
      </c>
      <c r="C37" s="3"/>
      <c r="D37" s="27" t="s">
        <v>36</v>
      </c>
      <c r="E37" s="27">
        <f>COUNTIF(E2:E21, "c")</f>
        <v>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customHeight="1">
      <c r="A38" s="3"/>
      <c r="B38" s="50" t="s">
        <v>36</v>
      </c>
      <c r="C38" s="11">
        <v>1</v>
      </c>
      <c r="D38" s="27" t="s">
        <v>37</v>
      </c>
      <c r="E38" s="27">
        <f>COUNTIF(E2:E32, "H")</f>
        <v>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customHeight="1">
      <c r="A39" s="3"/>
      <c r="B39" s="50" t="s">
        <v>37</v>
      </c>
      <c r="C39" s="11"/>
      <c r="D39" s="27" t="s">
        <v>38</v>
      </c>
      <c r="E39" s="27">
        <f>COUNTIF(E2:E34, "M")</f>
        <v>19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customHeight="1">
      <c r="A40" s="3"/>
      <c r="B40" s="50" t="s">
        <v>38</v>
      </c>
      <c r="C40" s="11"/>
      <c r="D40" s="27" t="s">
        <v>39</v>
      </c>
      <c r="E40" s="27">
        <f>COUNTIF(E2:E21, "Coord")</f>
        <v>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customHeight="1">
      <c r="A41" s="3"/>
      <c r="B41" s="50" t="s">
        <v>39</v>
      </c>
      <c r="C41" s="11">
        <v>2</v>
      </c>
      <c r="D41" s="27" t="s">
        <v>40</v>
      </c>
      <c r="E41" s="27">
        <f>SUM(E37:E40)</f>
        <v>33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50" t="s">
        <v>40</v>
      </c>
      <c r="C42" s="11">
        <v>20</v>
      </c>
      <c r="D42" s="3"/>
      <c r="E42" s="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5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5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5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5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50"/>
      <c r="B48" s="50"/>
      <c r="C48" s="143"/>
      <c r="D48" s="3"/>
      <c r="E48" s="5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50"/>
      <c r="B49" s="50"/>
      <c r="C49" s="143"/>
      <c r="D49" s="3"/>
      <c r="E49" s="5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50"/>
      <c r="B50" s="50"/>
      <c r="C50" s="143"/>
      <c r="D50" s="3"/>
      <c r="E50" s="5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50"/>
      <c r="B51" s="50"/>
      <c r="C51" s="143"/>
      <c r="D51" s="3"/>
      <c r="E51" s="5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50"/>
      <c r="B52" s="50"/>
      <c r="C52" s="143"/>
      <c r="D52" s="3"/>
      <c r="E52" s="5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50"/>
      <c r="B53" s="50"/>
      <c r="C53" s="143"/>
      <c r="D53" s="3"/>
      <c r="E53" s="5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50"/>
      <c r="B54" s="50"/>
      <c r="C54" s="143"/>
      <c r="D54" s="3"/>
      <c r="E54" s="5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50"/>
      <c r="B55" s="50"/>
      <c r="C55" s="143"/>
      <c r="D55" s="3"/>
      <c r="E55" s="5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50"/>
      <c r="B56" s="50"/>
      <c r="C56" s="143"/>
      <c r="D56" s="3"/>
      <c r="E56" s="50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50"/>
      <c r="B57" s="50"/>
      <c r="C57" s="143"/>
      <c r="D57" s="3"/>
      <c r="E57" s="5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50"/>
      <c r="B58" s="50"/>
      <c r="C58" s="143"/>
      <c r="D58" s="3"/>
      <c r="E58" s="5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50"/>
      <c r="B59" s="50"/>
      <c r="C59" s="143"/>
      <c r="D59" s="3"/>
      <c r="E59" s="5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50"/>
      <c r="B60" s="50"/>
      <c r="C60" s="143"/>
      <c r="D60" s="3"/>
      <c r="E60" s="5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50"/>
      <c r="B61" s="50"/>
      <c r="C61" s="143"/>
      <c r="D61" s="3"/>
      <c r="E61" s="5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50"/>
      <c r="B62" s="50"/>
      <c r="C62" s="143"/>
      <c r="D62" s="3"/>
      <c r="E62" s="5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50"/>
      <c r="B63" s="50"/>
      <c r="C63" s="143"/>
      <c r="D63" s="3"/>
      <c r="E63" s="5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50"/>
      <c r="B64" s="50"/>
      <c r="C64" s="143"/>
      <c r="D64" s="3"/>
      <c r="E64" s="5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50"/>
      <c r="B65" s="50"/>
      <c r="C65" s="143"/>
      <c r="D65" s="3"/>
      <c r="E65" s="5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50"/>
      <c r="B66" s="50"/>
      <c r="C66" s="143"/>
      <c r="D66" s="3"/>
      <c r="E66" s="5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50"/>
      <c r="B67" s="50"/>
      <c r="C67" s="143"/>
      <c r="D67" s="3"/>
      <c r="E67" s="5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50"/>
      <c r="B68" s="50"/>
      <c r="C68" s="143"/>
      <c r="D68" s="3"/>
      <c r="E68" s="5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50"/>
      <c r="B69" s="50"/>
      <c r="C69" s="143"/>
      <c r="D69" s="3"/>
      <c r="E69" s="5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50"/>
      <c r="B70" s="50"/>
      <c r="C70" s="143"/>
      <c r="D70" s="3"/>
      <c r="E70" s="5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50"/>
      <c r="B71" s="50"/>
      <c r="C71" s="143"/>
      <c r="D71" s="3"/>
      <c r="E71" s="5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50"/>
      <c r="B72" s="50"/>
      <c r="C72" s="143"/>
      <c r="D72" s="3"/>
      <c r="E72" s="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50"/>
      <c r="B73" s="50"/>
      <c r="C73" s="143"/>
      <c r="D73" s="3"/>
      <c r="E73" s="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50"/>
      <c r="B74" s="50"/>
      <c r="C74" s="143"/>
      <c r="D74" s="3"/>
      <c r="E74" s="5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50"/>
      <c r="B75" s="50"/>
      <c r="C75" s="143"/>
      <c r="D75" s="3"/>
      <c r="E75" s="5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50"/>
      <c r="B76" s="50"/>
      <c r="C76" s="143"/>
      <c r="D76" s="3"/>
      <c r="E76" s="5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50"/>
      <c r="B77" s="50"/>
      <c r="C77" s="143"/>
      <c r="D77" s="3"/>
      <c r="E77" s="5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50"/>
      <c r="B78" s="50"/>
      <c r="C78" s="143"/>
      <c r="D78" s="3"/>
      <c r="E78" s="5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50"/>
      <c r="B79" s="50"/>
      <c r="C79" s="143"/>
      <c r="D79" s="3"/>
      <c r="E79" s="5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50"/>
      <c r="B80" s="50"/>
      <c r="C80" s="143"/>
      <c r="D80" s="3"/>
      <c r="E80" s="5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50"/>
      <c r="B81" s="50"/>
      <c r="C81" s="143"/>
      <c r="D81" s="3"/>
      <c r="E81" s="5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50"/>
      <c r="B82" s="50"/>
      <c r="C82" s="143"/>
      <c r="D82" s="3"/>
      <c r="E82" s="5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50"/>
      <c r="B83" s="50"/>
      <c r="C83" s="143"/>
      <c r="D83" s="3"/>
      <c r="E83" s="5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50"/>
      <c r="B84" s="50"/>
      <c r="C84" s="143"/>
      <c r="D84" s="3"/>
      <c r="E84" s="5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50"/>
      <c r="B85" s="50"/>
      <c r="C85" s="143"/>
      <c r="D85" s="3"/>
      <c r="E85" s="5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50"/>
      <c r="B86" s="50"/>
      <c r="C86" s="143"/>
      <c r="D86" s="3"/>
      <c r="E86" s="5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50"/>
      <c r="B87" s="50"/>
      <c r="C87" s="143"/>
      <c r="D87" s="3"/>
      <c r="E87" s="5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50"/>
      <c r="B88" s="50"/>
      <c r="C88" s="143"/>
      <c r="D88" s="3"/>
      <c r="E88" s="5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50"/>
      <c r="B89" s="50"/>
      <c r="C89" s="143"/>
      <c r="D89" s="3"/>
      <c r="E89" s="5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50"/>
      <c r="B90" s="50"/>
      <c r="C90" s="143"/>
      <c r="D90" s="3"/>
      <c r="E90" s="5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50"/>
      <c r="B91" s="50"/>
      <c r="C91" s="143"/>
      <c r="D91" s="3"/>
      <c r="E91" s="5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50"/>
      <c r="B92" s="50"/>
      <c r="C92" s="143"/>
      <c r="D92" s="3"/>
      <c r="E92" s="5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50"/>
      <c r="B93" s="50"/>
      <c r="C93" s="143"/>
      <c r="D93" s="3"/>
      <c r="E93" s="5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50"/>
      <c r="B94" s="50"/>
      <c r="C94" s="143"/>
      <c r="D94" s="3"/>
      <c r="E94" s="5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50"/>
      <c r="B95" s="50"/>
      <c r="C95" s="143"/>
      <c r="D95" s="3"/>
      <c r="E95" s="5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50"/>
      <c r="B96" s="50"/>
      <c r="C96" s="143"/>
      <c r="D96" s="3"/>
      <c r="E96" s="5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50"/>
      <c r="B97" s="50"/>
      <c r="C97" s="143"/>
      <c r="D97" s="3"/>
      <c r="E97" s="5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50"/>
      <c r="B98" s="50"/>
      <c r="C98" s="143"/>
      <c r="D98" s="3"/>
      <c r="E98" s="5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50"/>
      <c r="B99" s="50"/>
      <c r="C99" s="143"/>
      <c r="D99" s="3"/>
      <c r="E99" s="5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50"/>
      <c r="B100" s="50"/>
      <c r="C100" s="143"/>
      <c r="D100" s="3"/>
      <c r="E100" s="5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50"/>
      <c r="B101" s="50"/>
      <c r="C101" s="143"/>
      <c r="D101" s="3"/>
      <c r="E101" s="5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50"/>
      <c r="B102" s="50"/>
      <c r="C102" s="143"/>
      <c r="D102" s="3"/>
      <c r="E102" s="5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50"/>
      <c r="B103" s="50"/>
      <c r="C103" s="143"/>
      <c r="D103" s="3"/>
      <c r="E103" s="5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50"/>
      <c r="B104" s="50"/>
      <c r="C104" s="143"/>
      <c r="D104" s="3"/>
      <c r="E104" s="5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50"/>
      <c r="B105" s="50"/>
      <c r="C105" s="143"/>
      <c r="D105" s="3"/>
      <c r="E105" s="5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50"/>
      <c r="B106" s="50"/>
      <c r="C106" s="143"/>
      <c r="D106" s="3"/>
      <c r="E106" s="5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50"/>
      <c r="B107" s="50"/>
      <c r="C107" s="143"/>
      <c r="D107" s="3"/>
      <c r="E107" s="5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50"/>
      <c r="B108" s="50"/>
      <c r="C108" s="143"/>
      <c r="D108" s="3"/>
      <c r="E108" s="5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50"/>
      <c r="B109" s="50"/>
      <c r="C109" s="143"/>
      <c r="D109" s="3"/>
      <c r="E109" s="5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50"/>
      <c r="B110" s="50"/>
      <c r="C110" s="143"/>
      <c r="D110" s="3"/>
      <c r="E110" s="5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50"/>
      <c r="B111" s="50"/>
      <c r="C111" s="143"/>
      <c r="D111" s="3"/>
      <c r="E111" s="5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50"/>
      <c r="B112" s="50"/>
      <c r="C112" s="143"/>
      <c r="D112" s="3"/>
      <c r="E112" s="5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50"/>
      <c r="B113" s="50"/>
      <c r="C113" s="143"/>
      <c r="D113" s="3"/>
      <c r="E113" s="5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50"/>
      <c r="B114" s="50"/>
      <c r="C114" s="143"/>
      <c r="D114" s="3"/>
      <c r="E114" s="5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50"/>
      <c r="B115" s="50"/>
      <c r="C115" s="143"/>
      <c r="D115" s="3"/>
      <c r="E115" s="5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50"/>
      <c r="B116" s="50"/>
      <c r="C116" s="143"/>
      <c r="D116" s="3"/>
      <c r="E116" s="5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50"/>
      <c r="B117" s="50"/>
      <c r="C117" s="143"/>
      <c r="D117" s="3"/>
      <c r="E117" s="5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50"/>
      <c r="B118" s="50"/>
      <c r="C118" s="143"/>
      <c r="D118" s="3"/>
      <c r="E118" s="5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50"/>
      <c r="B119" s="50"/>
      <c r="C119" s="143"/>
      <c r="D119" s="3"/>
      <c r="E119" s="5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50"/>
      <c r="B120" s="50"/>
      <c r="C120" s="143"/>
      <c r="D120" s="3"/>
      <c r="E120" s="5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50"/>
      <c r="B121" s="50"/>
      <c r="C121" s="143"/>
      <c r="D121" s="3"/>
      <c r="E121" s="5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50"/>
      <c r="B122" s="50"/>
      <c r="C122" s="143"/>
      <c r="D122" s="3"/>
      <c r="E122" s="5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50"/>
      <c r="B123" s="50"/>
      <c r="C123" s="143"/>
      <c r="D123" s="3"/>
      <c r="E123" s="5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50"/>
      <c r="B124" s="50"/>
      <c r="C124" s="143"/>
      <c r="D124" s="3"/>
      <c r="E124" s="5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50"/>
      <c r="B125" s="50"/>
      <c r="C125" s="143"/>
      <c r="D125" s="3"/>
      <c r="E125" s="5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50"/>
      <c r="B126" s="50"/>
      <c r="C126" s="143"/>
      <c r="D126" s="3"/>
      <c r="E126" s="5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50"/>
      <c r="B127" s="50"/>
      <c r="C127" s="143"/>
      <c r="D127" s="3"/>
      <c r="E127" s="5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50"/>
      <c r="B128" s="50"/>
      <c r="C128" s="143"/>
      <c r="D128" s="3"/>
      <c r="E128" s="5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50"/>
      <c r="B129" s="50"/>
      <c r="C129" s="143"/>
      <c r="D129" s="3"/>
      <c r="E129" s="5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50"/>
      <c r="B130" s="50"/>
      <c r="C130" s="143"/>
      <c r="D130" s="3"/>
      <c r="E130" s="5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50"/>
      <c r="B131" s="50"/>
      <c r="C131" s="143"/>
      <c r="D131" s="3"/>
      <c r="E131" s="5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50"/>
      <c r="B132" s="50"/>
      <c r="C132" s="143"/>
      <c r="D132" s="3"/>
      <c r="E132" s="5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50"/>
      <c r="B133" s="50"/>
      <c r="C133" s="143"/>
      <c r="D133" s="3"/>
      <c r="E133" s="5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50"/>
      <c r="B134" s="50"/>
      <c r="C134" s="143"/>
      <c r="D134" s="3"/>
      <c r="E134" s="5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50"/>
      <c r="B135" s="50"/>
      <c r="C135" s="143"/>
      <c r="D135" s="3"/>
      <c r="E135" s="5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50"/>
      <c r="B136" s="50"/>
      <c r="C136" s="143"/>
      <c r="D136" s="3"/>
      <c r="E136" s="5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50"/>
      <c r="B137" s="50"/>
      <c r="C137" s="143"/>
      <c r="D137" s="3"/>
      <c r="E137" s="5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50"/>
      <c r="B138" s="50"/>
      <c r="C138" s="143"/>
      <c r="D138" s="3"/>
      <c r="E138" s="5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50"/>
      <c r="B139" s="50"/>
      <c r="C139" s="143"/>
      <c r="D139" s="3"/>
      <c r="E139" s="5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50"/>
      <c r="B140" s="50"/>
      <c r="C140" s="143"/>
      <c r="D140" s="3"/>
      <c r="E140" s="5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50"/>
      <c r="B141" s="50"/>
      <c r="C141" s="143"/>
      <c r="D141" s="3"/>
      <c r="E141" s="5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50"/>
      <c r="B142" s="50"/>
      <c r="C142" s="143"/>
      <c r="D142" s="3"/>
      <c r="E142" s="5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50"/>
      <c r="B143" s="50"/>
      <c r="C143" s="143"/>
      <c r="D143" s="3"/>
      <c r="E143" s="5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50"/>
      <c r="B144" s="50"/>
      <c r="C144" s="143"/>
      <c r="D144" s="3"/>
      <c r="E144" s="5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50"/>
      <c r="B145" s="50"/>
      <c r="C145" s="143"/>
      <c r="D145" s="3"/>
      <c r="E145" s="5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50"/>
      <c r="B146" s="50"/>
      <c r="C146" s="143"/>
      <c r="D146" s="3"/>
      <c r="E146" s="5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50"/>
      <c r="B147" s="50"/>
      <c r="C147" s="143"/>
      <c r="D147" s="3"/>
      <c r="E147" s="5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50"/>
      <c r="B148" s="50"/>
      <c r="C148" s="143"/>
      <c r="D148" s="3"/>
      <c r="E148" s="5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50"/>
      <c r="B149" s="50"/>
      <c r="C149" s="143"/>
      <c r="D149" s="3"/>
      <c r="E149" s="5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50"/>
      <c r="B150" s="50"/>
      <c r="C150" s="143"/>
      <c r="D150" s="3"/>
      <c r="E150" s="5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50"/>
      <c r="B151" s="50"/>
      <c r="C151" s="143"/>
      <c r="D151" s="3"/>
      <c r="E151" s="5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50"/>
      <c r="B152" s="50"/>
      <c r="C152" s="143"/>
      <c r="D152" s="3"/>
      <c r="E152" s="5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50"/>
      <c r="B153" s="50"/>
      <c r="C153" s="143"/>
      <c r="D153" s="3"/>
      <c r="E153" s="5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50"/>
      <c r="B154" s="50"/>
      <c r="C154" s="143"/>
      <c r="D154" s="3"/>
      <c r="E154" s="5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50"/>
      <c r="B155" s="50"/>
      <c r="C155" s="143"/>
      <c r="D155" s="3"/>
      <c r="E155" s="5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50"/>
      <c r="B156" s="50"/>
      <c r="C156" s="143"/>
      <c r="D156" s="3"/>
      <c r="E156" s="5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50"/>
      <c r="B157" s="50"/>
      <c r="C157" s="143"/>
      <c r="D157" s="3"/>
      <c r="E157" s="5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50"/>
      <c r="B158" s="50"/>
      <c r="C158" s="143"/>
      <c r="D158" s="3"/>
      <c r="E158" s="5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50"/>
      <c r="B159" s="50"/>
      <c r="C159" s="143"/>
      <c r="D159" s="3"/>
      <c r="E159" s="5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50"/>
      <c r="B160" s="50"/>
      <c r="C160" s="143"/>
      <c r="D160" s="3"/>
      <c r="E160" s="5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50"/>
      <c r="B161" s="50"/>
      <c r="C161" s="143"/>
      <c r="D161" s="3"/>
      <c r="E161" s="5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50"/>
      <c r="B162" s="50"/>
      <c r="C162" s="143"/>
      <c r="D162" s="3"/>
      <c r="E162" s="5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50"/>
      <c r="B163" s="50"/>
      <c r="C163" s="143"/>
      <c r="D163" s="3"/>
      <c r="E163" s="5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50"/>
      <c r="B164" s="50"/>
      <c r="C164" s="143"/>
      <c r="D164" s="3"/>
      <c r="E164" s="5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50"/>
      <c r="B165" s="50"/>
      <c r="C165" s="143"/>
      <c r="D165" s="3"/>
      <c r="E165" s="5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50"/>
      <c r="B166" s="50"/>
      <c r="C166" s="143"/>
      <c r="D166" s="3"/>
      <c r="E166" s="5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50"/>
      <c r="B167" s="50"/>
      <c r="C167" s="143"/>
      <c r="D167" s="3"/>
      <c r="E167" s="5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50"/>
      <c r="B168" s="50"/>
      <c r="C168" s="143"/>
      <c r="D168" s="3"/>
      <c r="E168" s="5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50"/>
      <c r="B169" s="50"/>
      <c r="C169" s="143"/>
      <c r="D169" s="3"/>
      <c r="E169" s="5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50"/>
      <c r="B170" s="50"/>
      <c r="C170" s="143"/>
      <c r="D170" s="3"/>
      <c r="E170" s="5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50"/>
      <c r="B171" s="50"/>
      <c r="C171" s="143"/>
      <c r="D171" s="3"/>
      <c r="E171" s="5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50"/>
      <c r="B172" s="50"/>
      <c r="C172" s="143"/>
      <c r="D172" s="3"/>
      <c r="E172" s="5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50"/>
      <c r="B173" s="50"/>
      <c r="C173" s="143"/>
      <c r="D173" s="3"/>
      <c r="E173" s="5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50"/>
      <c r="B174" s="50"/>
      <c r="C174" s="143"/>
      <c r="D174" s="3"/>
      <c r="E174" s="5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50"/>
      <c r="B175" s="50"/>
      <c r="C175" s="143"/>
      <c r="D175" s="3"/>
      <c r="E175" s="5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50"/>
      <c r="B176" s="50"/>
      <c r="C176" s="143"/>
      <c r="D176" s="3"/>
      <c r="E176" s="5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50"/>
      <c r="B177" s="50"/>
      <c r="C177" s="143"/>
      <c r="D177" s="3"/>
      <c r="E177" s="5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50"/>
      <c r="B178" s="50"/>
      <c r="C178" s="143"/>
      <c r="D178" s="3"/>
      <c r="E178" s="5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50"/>
      <c r="B179" s="50"/>
      <c r="C179" s="143"/>
      <c r="D179" s="3"/>
      <c r="E179" s="5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50"/>
      <c r="B180" s="50"/>
      <c r="C180" s="143"/>
      <c r="D180" s="3"/>
      <c r="E180" s="5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50"/>
      <c r="B181" s="50"/>
      <c r="C181" s="143"/>
      <c r="D181" s="3"/>
      <c r="E181" s="5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50"/>
      <c r="B182" s="50"/>
      <c r="C182" s="143"/>
      <c r="D182" s="3"/>
      <c r="E182" s="5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50"/>
      <c r="B183" s="50"/>
      <c r="C183" s="143"/>
      <c r="D183" s="3"/>
      <c r="E183" s="5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50"/>
      <c r="B184" s="50"/>
      <c r="C184" s="143"/>
      <c r="D184" s="3"/>
      <c r="E184" s="5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50"/>
      <c r="B185" s="50"/>
      <c r="C185" s="143"/>
      <c r="D185" s="3"/>
      <c r="E185" s="5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50"/>
      <c r="B186" s="50"/>
      <c r="C186" s="143"/>
      <c r="D186" s="3"/>
      <c r="E186" s="5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50"/>
      <c r="B187" s="50"/>
      <c r="C187" s="143"/>
      <c r="D187" s="3"/>
      <c r="E187" s="5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50"/>
      <c r="B188" s="50"/>
      <c r="C188" s="143"/>
      <c r="D188" s="3"/>
      <c r="E188" s="5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50"/>
      <c r="B189" s="50"/>
      <c r="C189" s="143"/>
      <c r="D189" s="3"/>
      <c r="E189" s="5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50"/>
      <c r="B190" s="50"/>
      <c r="C190" s="143"/>
      <c r="D190" s="3"/>
      <c r="E190" s="5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50"/>
      <c r="B191" s="50"/>
      <c r="C191" s="143"/>
      <c r="D191" s="3"/>
      <c r="E191" s="5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50"/>
      <c r="B192" s="50"/>
      <c r="C192" s="143"/>
      <c r="D192" s="3"/>
      <c r="E192" s="5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50"/>
      <c r="B193" s="50"/>
      <c r="C193" s="143"/>
      <c r="D193" s="3"/>
      <c r="E193" s="5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50"/>
      <c r="B194" s="50"/>
      <c r="C194" s="143"/>
      <c r="D194" s="3"/>
      <c r="E194" s="5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50"/>
      <c r="B195" s="50"/>
      <c r="C195" s="143"/>
      <c r="D195" s="3"/>
      <c r="E195" s="5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50"/>
      <c r="B196" s="50"/>
      <c r="C196" s="143"/>
      <c r="D196" s="3"/>
      <c r="E196" s="5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50"/>
      <c r="B197" s="50"/>
      <c r="C197" s="143"/>
      <c r="D197" s="3"/>
      <c r="E197" s="5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50"/>
      <c r="B198" s="50"/>
      <c r="C198" s="143"/>
      <c r="D198" s="3"/>
      <c r="E198" s="5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50"/>
      <c r="B199" s="50"/>
      <c r="C199" s="143"/>
      <c r="D199" s="3"/>
      <c r="E199" s="5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50"/>
      <c r="B200" s="50"/>
      <c r="C200" s="143"/>
      <c r="D200" s="3"/>
      <c r="E200" s="5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50"/>
      <c r="B201" s="50"/>
      <c r="C201" s="143"/>
      <c r="D201" s="3"/>
      <c r="E201" s="5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50"/>
      <c r="B202" s="50"/>
      <c r="C202" s="143"/>
      <c r="D202" s="3"/>
      <c r="E202" s="5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50"/>
      <c r="B203" s="50"/>
      <c r="C203" s="143"/>
      <c r="D203" s="3"/>
      <c r="E203" s="5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50"/>
      <c r="B204" s="50"/>
      <c r="C204" s="143"/>
      <c r="D204" s="3"/>
      <c r="E204" s="5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50"/>
      <c r="B205" s="50"/>
      <c r="C205" s="143"/>
      <c r="D205" s="3"/>
      <c r="E205" s="5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50"/>
      <c r="B206" s="50"/>
      <c r="C206" s="143"/>
      <c r="D206" s="3"/>
      <c r="E206" s="5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50"/>
      <c r="B207" s="50"/>
      <c r="C207" s="143"/>
      <c r="D207" s="3"/>
      <c r="E207" s="5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50"/>
      <c r="B208" s="50"/>
      <c r="C208" s="143"/>
      <c r="D208" s="3"/>
      <c r="E208" s="5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50"/>
      <c r="B209" s="50"/>
      <c r="C209" s="143"/>
      <c r="D209" s="3"/>
      <c r="E209" s="5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50"/>
      <c r="B210" s="50"/>
      <c r="C210" s="143"/>
      <c r="D210" s="3"/>
      <c r="E210" s="5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50"/>
      <c r="B211" s="50"/>
      <c r="C211" s="143"/>
      <c r="D211" s="3"/>
      <c r="E211" s="5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50"/>
      <c r="B212" s="50"/>
      <c r="C212" s="143"/>
      <c r="D212" s="3"/>
      <c r="E212" s="5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50"/>
      <c r="B213" s="50"/>
      <c r="C213" s="143"/>
      <c r="D213" s="3"/>
      <c r="E213" s="5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50"/>
      <c r="B214" s="50"/>
      <c r="C214" s="143"/>
      <c r="D214" s="3"/>
      <c r="E214" s="5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50"/>
      <c r="B215" s="50"/>
      <c r="C215" s="143"/>
      <c r="D215" s="3"/>
      <c r="E215" s="5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50"/>
      <c r="B216" s="50"/>
      <c r="C216" s="143"/>
      <c r="D216" s="3"/>
      <c r="E216" s="5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50"/>
      <c r="B217" s="50"/>
      <c r="C217" s="143"/>
      <c r="D217" s="3"/>
      <c r="E217" s="5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50"/>
      <c r="B218" s="50"/>
      <c r="C218" s="143"/>
      <c r="D218" s="3"/>
      <c r="E218" s="5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50"/>
      <c r="B219" s="50"/>
      <c r="C219" s="143"/>
      <c r="D219" s="3"/>
      <c r="E219" s="5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50"/>
      <c r="B220" s="50"/>
      <c r="C220" s="143"/>
      <c r="D220" s="3"/>
      <c r="E220" s="5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50"/>
      <c r="B221" s="50"/>
      <c r="C221" s="143"/>
      <c r="D221" s="3"/>
      <c r="E221" s="5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50"/>
      <c r="B222" s="50"/>
      <c r="C222" s="143"/>
      <c r="D222" s="3"/>
      <c r="E222" s="5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50"/>
      <c r="B223" s="50"/>
      <c r="C223" s="143"/>
      <c r="D223" s="3"/>
      <c r="E223" s="5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50"/>
      <c r="B224" s="50"/>
      <c r="C224" s="143"/>
      <c r="D224" s="3"/>
      <c r="E224" s="5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50"/>
      <c r="B225" s="50"/>
      <c r="C225" s="143"/>
      <c r="D225" s="3"/>
      <c r="E225" s="5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50"/>
      <c r="B226" s="50"/>
      <c r="C226" s="143"/>
      <c r="D226" s="3"/>
      <c r="E226" s="5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50"/>
      <c r="B227" s="50"/>
      <c r="C227" s="143"/>
      <c r="D227" s="3"/>
      <c r="E227" s="5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50"/>
      <c r="B228" s="50"/>
      <c r="C228" s="143"/>
      <c r="D228" s="3"/>
      <c r="E228" s="5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50"/>
      <c r="B229" s="50"/>
      <c r="C229" s="143"/>
      <c r="D229" s="3"/>
      <c r="E229" s="5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50"/>
      <c r="B230" s="50"/>
      <c r="C230" s="143"/>
      <c r="D230" s="3"/>
      <c r="E230" s="5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50"/>
      <c r="B231" s="50"/>
      <c r="C231" s="143"/>
      <c r="D231" s="3"/>
      <c r="E231" s="5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50"/>
      <c r="B232" s="50"/>
      <c r="C232" s="143"/>
      <c r="D232" s="3"/>
      <c r="E232" s="5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50"/>
      <c r="B233" s="50"/>
      <c r="C233" s="143"/>
      <c r="D233" s="3"/>
      <c r="E233" s="5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50"/>
      <c r="B234" s="50"/>
      <c r="C234" s="143"/>
      <c r="D234" s="3"/>
      <c r="E234" s="5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50"/>
      <c r="B235" s="50"/>
      <c r="C235" s="143"/>
      <c r="D235" s="3"/>
      <c r="E235" s="5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50"/>
      <c r="B236" s="50"/>
      <c r="C236" s="143"/>
      <c r="D236" s="3"/>
      <c r="E236" s="5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50"/>
      <c r="B237" s="50"/>
      <c r="C237" s="143"/>
      <c r="D237" s="3"/>
      <c r="E237" s="5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50"/>
      <c r="B238" s="50"/>
      <c r="C238" s="143"/>
      <c r="D238" s="3"/>
      <c r="E238" s="5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50"/>
      <c r="B239" s="50"/>
      <c r="C239" s="143"/>
      <c r="D239" s="3"/>
      <c r="E239" s="5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50"/>
      <c r="B240" s="50"/>
      <c r="C240" s="143"/>
      <c r="D240" s="3"/>
      <c r="E240" s="5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50"/>
      <c r="B241" s="50"/>
      <c r="C241" s="143"/>
      <c r="D241" s="3"/>
      <c r="E241" s="5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FF0000"/>
    <outlinePr summaryBelow="0" summaryRight="0"/>
  </sheetPr>
  <dimension ref="A1:AA1006"/>
  <sheetViews>
    <sheetView topLeftCell="A13" workbookViewId="0">
      <selection activeCell="A41" sqref="A41:XFD41"/>
    </sheetView>
  </sheetViews>
  <sheetFormatPr defaultColWidth="14.453125" defaultRowHeight="15" customHeight="1"/>
  <cols>
    <col min="1" max="1" width="4" customWidth="1"/>
    <col min="2" max="2" width="76.08984375" customWidth="1"/>
    <col min="3" max="3" width="47.54296875" customWidth="1"/>
    <col min="4" max="4" width="38.7265625" customWidth="1"/>
    <col min="5" max="5" width="12.81640625" customWidth="1"/>
    <col min="6" max="6" width="102.453125" customWidth="1"/>
  </cols>
  <sheetData>
    <row r="1" spans="1:27" ht="15.5">
      <c r="A1" s="1" t="s">
        <v>0</v>
      </c>
      <c r="B1" s="1" t="s">
        <v>1</v>
      </c>
      <c r="C1" s="2" t="s">
        <v>2</v>
      </c>
      <c r="D1" s="1" t="s">
        <v>27</v>
      </c>
      <c r="E1" s="149"/>
      <c r="F1" s="1" t="s">
        <v>41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5">
      <c r="A2" s="8">
        <v>1</v>
      </c>
      <c r="B2" s="9" t="s">
        <v>959</v>
      </c>
      <c r="C2" s="9" t="s">
        <v>960</v>
      </c>
      <c r="D2" s="7"/>
      <c r="E2" s="5" t="s">
        <v>30</v>
      </c>
      <c r="F2" s="5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5">
      <c r="A3" s="10">
        <v>2</v>
      </c>
      <c r="B3" s="9" t="s">
        <v>961</v>
      </c>
      <c r="C3" s="9" t="s">
        <v>962</v>
      </c>
      <c r="D3" s="5"/>
      <c r="E3" s="5" t="s">
        <v>30</v>
      </c>
      <c r="F3" s="5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5">
      <c r="A4" s="158">
        <v>3</v>
      </c>
      <c r="B4" s="23" t="s">
        <v>963</v>
      </c>
      <c r="C4" s="69" t="s">
        <v>964</v>
      </c>
      <c r="D4" s="69"/>
      <c r="E4" s="363" t="s">
        <v>78</v>
      </c>
      <c r="F4" s="16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5">
      <c r="A5" s="55">
        <v>4</v>
      </c>
      <c r="B5" s="23" t="s">
        <v>965</v>
      </c>
      <c r="C5" s="418" t="s">
        <v>966</v>
      </c>
      <c r="D5" s="69"/>
      <c r="E5" s="69" t="s">
        <v>78</v>
      </c>
      <c r="F5" s="16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5">
      <c r="A6" s="158">
        <v>6</v>
      </c>
      <c r="B6" s="23" t="s">
        <v>967</v>
      </c>
      <c r="C6" s="23" t="s">
        <v>968</v>
      </c>
      <c r="D6" s="69"/>
      <c r="E6" s="69"/>
      <c r="F6" s="16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5">
      <c r="A7" s="38">
        <v>7</v>
      </c>
      <c r="B7" s="80" t="s">
        <v>969</v>
      </c>
      <c r="C7" s="42" t="s">
        <v>970</v>
      </c>
      <c r="D7" s="87"/>
      <c r="E7" s="87" t="s">
        <v>17</v>
      </c>
      <c r="F7" s="9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5">
      <c r="A8" s="35">
        <v>8</v>
      </c>
      <c r="B8" s="42" t="s">
        <v>971</v>
      </c>
      <c r="C8" s="42" t="s">
        <v>972</v>
      </c>
      <c r="D8" s="168"/>
      <c r="E8" s="42" t="s">
        <v>17</v>
      </c>
      <c r="F8" s="9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5">
      <c r="A9" s="283">
        <v>9</v>
      </c>
      <c r="B9" s="42" t="s">
        <v>973</v>
      </c>
      <c r="C9" s="81" t="s">
        <v>974</v>
      </c>
      <c r="D9" s="419"/>
      <c r="E9" s="84" t="s">
        <v>17</v>
      </c>
      <c r="F9" s="9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5">
      <c r="A10" s="38">
        <v>10</v>
      </c>
      <c r="B10" s="420" t="s">
        <v>975</v>
      </c>
      <c r="C10" s="420">
        <v>83987564704</v>
      </c>
      <c r="D10" s="110"/>
      <c r="E10" s="42" t="s">
        <v>7</v>
      </c>
      <c r="F10" s="9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5">
      <c r="A11" s="421">
        <v>11</v>
      </c>
      <c r="B11" s="422" t="s">
        <v>976</v>
      </c>
      <c r="C11" s="422" t="s">
        <v>977</v>
      </c>
      <c r="D11" s="91"/>
      <c r="E11" s="91" t="s">
        <v>17</v>
      </c>
      <c r="F11" s="423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</row>
    <row r="12" spans="1:27" ht="15.5">
      <c r="A12" s="283">
        <v>12</v>
      </c>
      <c r="B12" s="42" t="s">
        <v>978</v>
      </c>
      <c r="C12" s="110" t="s">
        <v>979</v>
      </c>
      <c r="D12" s="419"/>
      <c r="E12" s="86" t="s">
        <v>17</v>
      </c>
      <c r="F12" s="9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5">
      <c r="A13" s="38">
        <v>13</v>
      </c>
      <c r="B13" s="42" t="s">
        <v>980</v>
      </c>
      <c r="C13" s="110" t="s">
        <v>981</v>
      </c>
      <c r="D13" s="265"/>
      <c r="E13" s="81" t="s">
        <v>7</v>
      </c>
      <c r="F13" s="9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.5" customHeight="1">
      <c r="A14" s="35">
        <v>14</v>
      </c>
      <c r="B14" s="36" t="s">
        <v>982</v>
      </c>
      <c r="C14" s="36" t="s">
        <v>983</v>
      </c>
      <c r="D14" s="91"/>
      <c r="E14" s="81" t="s">
        <v>7</v>
      </c>
      <c r="F14" s="9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.5" customHeight="1">
      <c r="A15" s="38">
        <v>16</v>
      </c>
      <c r="B15" s="42" t="s">
        <v>984</v>
      </c>
      <c r="C15" s="42" t="s">
        <v>985</v>
      </c>
      <c r="D15" s="169"/>
      <c r="E15" s="81" t="s">
        <v>7</v>
      </c>
      <c r="F15" s="9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 customHeight="1">
      <c r="A16" s="35">
        <v>17</v>
      </c>
      <c r="B16" s="42" t="s">
        <v>986</v>
      </c>
      <c r="C16" s="42">
        <v>83987919994</v>
      </c>
      <c r="D16" s="383"/>
      <c r="E16" s="263" t="s">
        <v>7</v>
      </c>
      <c r="F16" s="9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5">
      <c r="A17" s="283">
        <v>18</v>
      </c>
      <c r="B17" s="36" t="s">
        <v>987</v>
      </c>
      <c r="C17" s="42" t="s">
        <v>988</v>
      </c>
      <c r="D17" s="268"/>
      <c r="E17" s="86" t="s">
        <v>7</v>
      </c>
      <c r="F17" s="16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5">
      <c r="A18" s="38">
        <v>19</v>
      </c>
      <c r="B18" s="42" t="s">
        <v>989</v>
      </c>
      <c r="C18" s="42" t="s">
        <v>990</v>
      </c>
      <c r="D18" s="82"/>
      <c r="E18" s="81" t="s">
        <v>7</v>
      </c>
      <c r="F18" s="9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5">
      <c r="A19" s="35">
        <v>20</v>
      </c>
      <c r="B19" s="36" t="s">
        <v>991</v>
      </c>
      <c r="C19" s="42" t="s">
        <v>992</v>
      </c>
      <c r="D19" s="86"/>
      <c r="E19" s="86" t="s">
        <v>17</v>
      </c>
      <c r="F19" s="9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5">
      <c r="A20" s="283">
        <v>21</v>
      </c>
      <c r="B20" s="42" t="s">
        <v>993</v>
      </c>
      <c r="C20" s="42" t="s">
        <v>994</v>
      </c>
      <c r="D20" s="82"/>
      <c r="E20" s="81" t="s">
        <v>17</v>
      </c>
      <c r="F20" s="9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5">
      <c r="A21" s="38">
        <v>22</v>
      </c>
      <c r="B21" s="42" t="s">
        <v>995</v>
      </c>
      <c r="C21" s="110" t="s">
        <v>996</v>
      </c>
      <c r="D21" s="268"/>
      <c r="E21" s="86" t="s">
        <v>7</v>
      </c>
      <c r="F21" s="9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5">
      <c r="A22" s="35">
        <v>23</v>
      </c>
      <c r="B22" s="42" t="s">
        <v>997</v>
      </c>
      <c r="C22" s="42" t="s">
        <v>998</v>
      </c>
      <c r="D22" s="91"/>
      <c r="E22" s="81" t="s">
        <v>7</v>
      </c>
      <c r="F22" s="9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5">
      <c r="A23" s="283">
        <v>24</v>
      </c>
      <c r="B23" s="36" t="s">
        <v>999</v>
      </c>
      <c r="C23" s="37" t="s">
        <v>1000</v>
      </c>
      <c r="D23" s="392"/>
      <c r="E23" s="81" t="s">
        <v>17</v>
      </c>
      <c r="F23" s="9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5">
      <c r="A24" s="38">
        <v>25</v>
      </c>
      <c r="B24" s="42" t="s">
        <v>1001</v>
      </c>
      <c r="C24" s="81">
        <v>83999428677</v>
      </c>
      <c r="D24" s="424"/>
      <c r="E24" s="86" t="s">
        <v>17</v>
      </c>
      <c r="F24" s="425"/>
      <c r="G24" s="426"/>
      <c r="H24" s="426"/>
      <c r="I24" s="426"/>
      <c r="J24" s="426"/>
      <c r="K24" s="426"/>
      <c r="L24" s="426"/>
      <c r="M24" s="426"/>
      <c r="N24" s="426"/>
      <c r="O24" s="426"/>
      <c r="P24" s="426"/>
      <c r="Q24" s="426"/>
      <c r="R24" s="426"/>
      <c r="S24" s="426"/>
      <c r="T24" s="426"/>
      <c r="U24" s="426"/>
      <c r="V24" s="426"/>
      <c r="W24" s="426"/>
      <c r="X24" s="426"/>
      <c r="Y24" s="426"/>
      <c r="Z24" s="426"/>
      <c r="AA24" s="426"/>
    </row>
    <row r="25" spans="1:27" ht="15.5">
      <c r="A25" s="35">
        <v>26</v>
      </c>
      <c r="B25" s="80" t="s">
        <v>1002</v>
      </c>
      <c r="C25" s="42" t="s">
        <v>1003</v>
      </c>
      <c r="D25" s="295"/>
      <c r="E25" s="42" t="s">
        <v>17</v>
      </c>
      <c r="F25" s="9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5">
      <c r="A26" s="283">
        <v>27</v>
      </c>
      <c r="B26" s="44" t="s">
        <v>1004</v>
      </c>
      <c r="C26" s="103" t="s">
        <v>1005</v>
      </c>
      <c r="D26" s="368"/>
      <c r="E26" s="81" t="s">
        <v>17</v>
      </c>
      <c r="F26" s="9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5">
      <c r="A27" s="38">
        <v>28</v>
      </c>
      <c r="B27" s="45" t="s">
        <v>1006</v>
      </c>
      <c r="C27" s="320" t="s">
        <v>656</v>
      </c>
      <c r="D27" s="427"/>
      <c r="E27" s="81" t="s">
        <v>17</v>
      </c>
      <c r="F27" s="9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5">
      <c r="A28" s="35">
        <v>29</v>
      </c>
      <c r="B28" s="45" t="s">
        <v>1007</v>
      </c>
      <c r="C28" s="45" t="s">
        <v>1008</v>
      </c>
      <c r="D28" s="268"/>
      <c r="E28" s="86" t="s">
        <v>17</v>
      </c>
      <c r="F28" s="82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</row>
    <row r="29" spans="1:27" ht="15.5">
      <c r="A29" s="283">
        <v>30</v>
      </c>
      <c r="B29" s="103" t="s">
        <v>1009</v>
      </c>
      <c r="C29" s="103" t="s">
        <v>1010</v>
      </c>
      <c r="D29" s="90"/>
      <c r="E29" s="110" t="s">
        <v>17</v>
      </c>
      <c r="F29" s="9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>
      <c r="A30" s="38">
        <v>31</v>
      </c>
      <c r="B30" s="45" t="s">
        <v>1011</v>
      </c>
      <c r="C30" s="45">
        <v>83988071456</v>
      </c>
      <c r="D30" s="429"/>
      <c r="E30" s="42" t="s">
        <v>17</v>
      </c>
      <c r="F30" s="9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>
      <c r="A31" s="35">
        <v>32</v>
      </c>
      <c r="B31" s="45" t="s">
        <v>1012</v>
      </c>
      <c r="C31" s="97" t="s">
        <v>1013</v>
      </c>
      <c r="D31" s="84"/>
      <c r="E31" s="84" t="s">
        <v>17</v>
      </c>
      <c r="F31" s="9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>
      <c r="A32" s="283">
        <v>33</v>
      </c>
      <c r="B32" s="320" t="s">
        <v>1014</v>
      </c>
      <c r="C32" s="430" t="s">
        <v>1015</v>
      </c>
      <c r="D32" s="431"/>
      <c r="E32" s="27" t="s">
        <v>17</v>
      </c>
      <c r="F32" s="9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>
      <c r="A33" s="38">
        <v>34</v>
      </c>
      <c r="B33" s="44" t="s">
        <v>1016</v>
      </c>
      <c r="C33" s="264" t="s">
        <v>1017</v>
      </c>
      <c r="D33" s="431"/>
      <c r="E33" s="27" t="s">
        <v>17</v>
      </c>
      <c r="F33" s="9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>
      <c r="A34" s="35">
        <v>35</v>
      </c>
      <c r="B34" s="45" t="s">
        <v>1018</v>
      </c>
      <c r="C34" s="112" t="s">
        <v>1019</v>
      </c>
      <c r="D34" s="76"/>
      <c r="E34" s="27" t="s">
        <v>17</v>
      </c>
      <c r="F34" s="9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>
      <c r="A35" s="283">
        <v>36</v>
      </c>
      <c r="B35" s="103" t="s">
        <v>1020</v>
      </c>
      <c r="C35" s="264" t="s">
        <v>1021</v>
      </c>
      <c r="D35" s="431"/>
      <c r="E35" s="27" t="s">
        <v>17</v>
      </c>
      <c r="F35" s="9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>
      <c r="A36" s="38">
        <v>37</v>
      </c>
      <c r="B36" s="45" t="s">
        <v>1022</v>
      </c>
      <c r="C36" s="45" t="s">
        <v>1023</v>
      </c>
      <c r="D36" s="394"/>
      <c r="E36" s="27" t="s">
        <v>7</v>
      </c>
      <c r="F36" s="9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>
      <c r="A37" s="35">
        <v>38</v>
      </c>
      <c r="B37" s="45" t="s">
        <v>1024</v>
      </c>
      <c r="C37" s="432" t="s">
        <v>1025</v>
      </c>
      <c r="D37" s="75"/>
      <c r="E37" s="27" t="s">
        <v>17</v>
      </c>
      <c r="F37" s="9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>
      <c r="A38" s="283">
        <v>39</v>
      </c>
      <c r="B38" s="45" t="s">
        <v>1026</v>
      </c>
      <c r="C38" s="97" t="s">
        <v>1027</v>
      </c>
      <c r="D38" s="75"/>
      <c r="E38" s="27" t="s">
        <v>17</v>
      </c>
      <c r="F38" s="9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>
      <c r="A39" s="38">
        <v>40</v>
      </c>
      <c r="B39" s="45" t="s">
        <v>1028</v>
      </c>
      <c r="C39" s="97" t="s">
        <v>1029</v>
      </c>
      <c r="D39" s="75"/>
      <c r="E39" s="27" t="s">
        <v>7</v>
      </c>
      <c r="F39" s="9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>
      <c r="A40" s="35">
        <v>41</v>
      </c>
      <c r="B40" s="45" t="s">
        <v>1030</v>
      </c>
      <c r="C40" s="45" t="s">
        <v>1031</v>
      </c>
      <c r="D40" s="27"/>
      <c r="E40" s="27" t="s">
        <v>17</v>
      </c>
      <c r="F40" s="93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75" customHeight="1">
      <c r="A41" s="38">
        <v>43</v>
      </c>
      <c r="B41" s="44" t="s">
        <v>1032</v>
      </c>
      <c r="C41" s="45" t="s">
        <v>1033</v>
      </c>
      <c r="D41" s="27"/>
      <c r="E41" s="27" t="s">
        <v>17</v>
      </c>
      <c r="F41" s="93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ht="15.75" customHeight="1">
      <c r="A42" s="321">
        <v>44</v>
      </c>
      <c r="B42" s="433" t="s">
        <v>1034</v>
      </c>
      <c r="C42" s="218" t="s">
        <v>1035</v>
      </c>
      <c r="D42" s="126"/>
      <c r="E42" s="321" t="s">
        <v>17</v>
      </c>
      <c r="F42" s="434" t="s">
        <v>1036</v>
      </c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</row>
    <row r="43" spans="1:27" ht="15.75" customHeight="1">
      <c r="A43" s="50"/>
      <c r="B43" s="135"/>
      <c r="C43" s="3"/>
      <c r="D43" s="50"/>
      <c r="E43" s="50"/>
      <c r="F43" s="37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>
      <c r="A44" s="50"/>
      <c r="B44" s="135"/>
      <c r="C44" s="3"/>
      <c r="D44" s="50"/>
      <c r="E44" s="50"/>
      <c r="F44" s="37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>
      <c r="A45" s="50"/>
      <c r="B45" s="135"/>
      <c r="C45" s="3"/>
      <c r="D45" s="50"/>
      <c r="E45" s="50"/>
      <c r="F45" s="37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>
      <c r="A46" s="50"/>
      <c r="B46" s="135"/>
      <c r="C46" s="3"/>
      <c r="D46" s="50"/>
      <c r="E46" s="50"/>
      <c r="F46" s="37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>
      <c r="A47" s="50"/>
      <c r="B47" s="135"/>
      <c r="C47" s="3"/>
      <c r="D47" s="50"/>
      <c r="E47" s="50"/>
      <c r="F47" s="37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>
      <c r="A48" s="50"/>
      <c r="B48" s="135"/>
      <c r="C48" s="3"/>
      <c r="D48" s="50"/>
      <c r="E48" s="50"/>
      <c r="F48" s="37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>
      <c r="A49" s="50"/>
      <c r="B49" s="135" t="s">
        <v>1037</v>
      </c>
      <c r="C49" s="3"/>
      <c r="D49" s="50"/>
      <c r="E49" s="50"/>
      <c r="F49" s="37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>
      <c r="A50" s="50"/>
      <c r="B50" s="140" t="s">
        <v>177</v>
      </c>
      <c r="C50" s="3"/>
      <c r="D50" s="140" t="s">
        <v>35</v>
      </c>
      <c r="E50" s="50"/>
      <c r="F50" s="43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250"/>
    </row>
    <row r="51" spans="1:27" ht="15.75" customHeight="1">
      <c r="A51" s="50"/>
      <c r="B51" s="50" t="s">
        <v>36</v>
      </c>
      <c r="C51" s="11">
        <v>1</v>
      </c>
      <c r="D51" s="27" t="s">
        <v>36</v>
      </c>
      <c r="E51" s="27">
        <f>COUNTIF(E2:E43, "C")</f>
        <v>2</v>
      </c>
      <c r="F51" s="37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>
      <c r="A52" s="50"/>
      <c r="B52" s="50" t="s">
        <v>37</v>
      </c>
      <c r="C52" s="11"/>
      <c r="D52" s="27" t="s">
        <v>37</v>
      </c>
      <c r="E52" s="27">
        <f>COUNTIF(E2:E42, "H")</f>
        <v>11</v>
      </c>
      <c r="F52" s="37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>
      <c r="A53" s="50"/>
      <c r="B53" s="50" t="s">
        <v>38</v>
      </c>
      <c r="C53" s="11"/>
      <c r="D53" s="27" t="s">
        <v>38</v>
      </c>
      <c r="E53" s="27">
        <f>COUNTIF(E2:E42, "M")</f>
        <v>25</v>
      </c>
      <c r="F53" s="37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>
      <c r="A54" s="50"/>
      <c r="B54" s="50" t="s">
        <v>39</v>
      </c>
      <c r="C54" s="11">
        <v>2</v>
      </c>
      <c r="D54" s="27" t="s">
        <v>39</v>
      </c>
      <c r="E54" s="27">
        <f>COUNTIF(E2:E43, "Coord")</f>
        <v>2</v>
      </c>
      <c r="F54" s="37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" customHeight="1">
      <c r="A55" s="50"/>
      <c r="B55" s="50" t="s">
        <v>40</v>
      </c>
      <c r="C55" s="11">
        <v>32</v>
      </c>
      <c r="D55" s="27" t="s">
        <v>40</v>
      </c>
      <c r="E55" s="27">
        <f>SUM(E51:E54)</f>
        <v>40</v>
      </c>
      <c r="F55" s="43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" customHeight="1">
      <c r="A56" s="50"/>
      <c r="B56" s="3"/>
      <c r="C56" s="3"/>
      <c r="D56" s="3"/>
      <c r="E56" s="50"/>
      <c r="F56" s="37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>
      <c r="A57" s="50"/>
      <c r="B57" s="3"/>
      <c r="C57" s="3"/>
      <c r="D57" s="3"/>
      <c r="E57" s="50"/>
      <c r="F57" s="43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" customHeight="1">
      <c r="A58" s="50"/>
      <c r="B58" s="3"/>
      <c r="C58" s="3"/>
      <c r="D58" s="3"/>
      <c r="E58" s="5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" customHeight="1">
      <c r="A59" s="3"/>
      <c r="B59" s="3"/>
      <c r="C59" s="3"/>
      <c r="D59" s="3"/>
      <c r="E59" s="5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" customHeight="1">
      <c r="A60" s="3"/>
      <c r="B60" s="3"/>
      <c r="C60" s="3"/>
      <c r="D60" s="3"/>
      <c r="E60" s="5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" customHeight="1">
      <c r="A61" s="3"/>
      <c r="B61" s="3"/>
      <c r="C61" s="3"/>
      <c r="D61" s="3"/>
      <c r="E61" s="5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" customHeight="1">
      <c r="A62" s="3"/>
      <c r="B62" s="3"/>
      <c r="C62" s="3"/>
      <c r="D62" s="3"/>
      <c r="E62" s="5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" customHeight="1">
      <c r="A63" s="3"/>
      <c r="B63" s="3"/>
      <c r="C63" s="3"/>
      <c r="D63" s="3"/>
      <c r="E63" s="5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" customHeight="1">
      <c r="A64" s="3"/>
      <c r="B64" s="3"/>
      <c r="C64" s="3"/>
      <c r="D64" s="3"/>
      <c r="E64" s="5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" customHeight="1">
      <c r="A65" s="3"/>
      <c r="B65" s="3"/>
      <c r="C65" s="3"/>
      <c r="D65" s="3"/>
      <c r="E65" s="5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3"/>
      <c r="B66" s="3"/>
      <c r="C66" s="3"/>
      <c r="D66" s="3"/>
      <c r="E66" s="5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3"/>
      <c r="B67" s="3"/>
      <c r="C67" s="3"/>
      <c r="D67" s="3"/>
      <c r="E67" s="5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3"/>
      <c r="B68" s="3"/>
      <c r="C68" s="3"/>
      <c r="D68" s="3"/>
      <c r="E68" s="5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3"/>
      <c r="B69" s="3"/>
      <c r="C69" s="3"/>
      <c r="D69" s="3"/>
      <c r="E69" s="5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3"/>
      <c r="B70" s="3"/>
      <c r="C70" s="3"/>
      <c r="D70" s="3"/>
      <c r="E70" s="5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3"/>
      <c r="B71" s="3"/>
      <c r="C71" s="3"/>
      <c r="D71" s="3"/>
      <c r="E71" s="5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3"/>
      <c r="B72" s="3"/>
      <c r="C72" s="3"/>
      <c r="D72" s="3"/>
      <c r="E72" s="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3"/>
      <c r="B73" s="3"/>
      <c r="C73" s="3"/>
      <c r="D73" s="3"/>
      <c r="E73" s="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3"/>
      <c r="B74" s="3"/>
      <c r="C74" s="3"/>
      <c r="D74" s="3"/>
      <c r="E74" s="5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3"/>
      <c r="B75" s="3"/>
      <c r="C75" s="3"/>
      <c r="D75" s="3"/>
      <c r="E75" s="5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3"/>
      <c r="B76" s="3"/>
      <c r="C76" s="3"/>
      <c r="D76" s="3"/>
      <c r="E76" s="5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3"/>
      <c r="B77" s="3"/>
      <c r="C77" s="3"/>
      <c r="D77" s="3"/>
      <c r="E77" s="5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3"/>
      <c r="B78" s="3"/>
      <c r="C78" s="3"/>
      <c r="D78" s="3"/>
      <c r="E78" s="5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3"/>
      <c r="B79" s="50"/>
      <c r="C79" s="50"/>
      <c r="D79" s="50"/>
      <c r="E79" s="5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3"/>
      <c r="B80" s="50"/>
      <c r="C80" s="50"/>
      <c r="D80" s="50"/>
      <c r="E80" s="5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3"/>
      <c r="B81" s="50"/>
      <c r="C81" s="50"/>
      <c r="D81" s="50"/>
      <c r="E81" s="5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>
      <c r="A82" s="3"/>
      <c r="B82" s="50"/>
      <c r="C82" s="50"/>
      <c r="D82" s="50"/>
      <c r="E82" s="5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>
      <c r="A83" s="3"/>
      <c r="B83" s="50"/>
      <c r="C83" s="50"/>
      <c r="D83" s="50"/>
      <c r="E83" s="5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>
      <c r="A84" s="3"/>
      <c r="B84" s="50"/>
      <c r="C84" s="50"/>
      <c r="D84" s="50"/>
      <c r="E84" s="5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>
      <c r="A85" s="3"/>
      <c r="B85" s="50"/>
      <c r="C85" s="50"/>
      <c r="D85" s="50"/>
      <c r="E85" s="5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3"/>
      <c r="B86" s="50"/>
      <c r="C86" s="50"/>
      <c r="D86" s="50"/>
      <c r="E86" s="5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3"/>
      <c r="B87" s="50"/>
      <c r="C87" s="50"/>
      <c r="D87" s="50"/>
      <c r="E87" s="5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3"/>
      <c r="B88" s="50"/>
      <c r="C88" s="50"/>
      <c r="D88" s="50"/>
      <c r="E88" s="5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3"/>
      <c r="B89" s="50"/>
      <c r="C89" s="50"/>
      <c r="D89" s="50"/>
      <c r="E89" s="5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>
      <c r="A90" s="3"/>
      <c r="B90" s="50"/>
      <c r="C90" s="50"/>
      <c r="D90" s="50"/>
      <c r="E90" s="5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>
      <c r="A91" s="3"/>
      <c r="B91" s="50"/>
      <c r="C91" s="50"/>
      <c r="D91" s="50"/>
      <c r="E91" s="5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>
      <c r="A92" s="3"/>
      <c r="B92" s="50"/>
      <c r="C92" s="50"/>
      <c r="D92" s="50"/>
      <c r="E92" s="5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>
      <c r="A93" s="3"/>
      <c r="B93" s="50"/>
      <c r="C93" s="50"/>
      <c r="D93" s="50"/>
      <c r="E93" s="5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>
      <c r="A94" s="3"/>
      <c r="B94" s="50"/>
      <c r="C94" s="50"/>
      <c r="D94" s="50"/>
      <c r="E94" s="5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>
      <c r="A95" s="3"/>
      <c r="B95" s="50"/>
      <c r="C95" s="50"/>
      <c r="D95" s="50"/>
      <c r="E95" s="5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>
      <c r="A96" s="3"/>
      <c r="B96" s="50"/>
      <c r="C96" s="50"/>
      <c r="D96" s="50"/>
      <c r="E96" s="5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>
      <c r="A97" s="3"/>
      <c r="B97" s="50"/>
      <c r="C97" s="50"/>
      <c r="D97" s="50"/>
      <c r="E97" s="5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>
      <c r="A98" s="3"/>
      <c r="B98" s="50"/>
      <c r="C98" s="50"/>
      <c r="D98" s="50"/>
      <c r="E98" s="5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>
      <c r="A99" s="3"/>
      <c r="B99" s="50"/>
      <c r="C99" s="50"/>
      <c r="D99" s="50"/>
      <c r="E99" s="5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>
      <c r="A100" s="3"/>
      <c r="B100" s="50"/>
      <c r="C100" s="50"/>
      <c r="D100" s="50"/>
      <c r="E100" s="5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>
      <c r="A101" s="3"/>
      <c r="B101" s="50"/>
      <c r="C101" s="50"/>
      <c r="D101" s="50"/>
      <c r="E101" s="5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3"/>
      <c r="B102" s="50"/>
      <c r="C102" s="50"/>
      <c r="D102" s="50"/>
      <c r="E102" s="5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>
      <c r="A103" s="3"/>
      <c r="B103" s="50"/>
      <c r="C103" s="50"/>
      <c r="D103" s="50"/>
      <c r="E103" s="5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>
      <c r="A104" s="3"/>
      <c r="B104" s="50"/>
      <c r="C104" s="50"/>
      <c r="D104" s="50"/>
      <c r="E104" s="5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>
      <c r="A105" s="3"/>
      <c r="B105" s="50"/>
      <c r="C105" s="50"/>
      <c r="D105" s="50"/>
      <c r="E105" s="5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>
      <c r="A106" s="3"/>
      <c r="B106" s="50"/>
      <c r="C106" s="50"/>
      <c r="D106" s="50"/>
      <c r="E106" s="5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>
      <c r="A107" s="3"/>
      <c r="B107" s="50"/>
      <c r="C107" s="50"/>
      <c r="D107" s="50"/>
      <c r="E107" s="5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>
      <c r="A108" s="3"/>
      <c r="B108" s="50"/>
      <c r="C108" s="50"/>
      <c r="D108" s="50"/>
      <c r="E108" s="5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>
      <c r="A109" s="3"/>
      <c r="B109" s="50"/>
      <c r="C109" s="50"/>
      <c r="D109" s="50"/>
      <c r="E109" s="5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>
      <c r="A110" s="3"/>
      <c r="B110" s="50"/>
      <c r="C110" s="50"/>
      <c r="D110" s="50"/>
      <c r="E110" s="5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>
      <c r="A111" s="3"/>
      <c r="B111" s="50"/>
      <c r="C111" s="50"/>
      <c r="D111" s="50"/>
      <c r="E111" s="5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>
      <c r="A112" s="3"/>
      <c r="B112" s="50"/>
      <c r="C112" s="50"/>
      <c r="D112" s="50"/>
      <c r="E112" s="5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>
      <c r="A113" s="3"/>
      <c r="B113" s="50"/>
      <c r="C113" s="50"/>
      <c r="D113" s="50"/>
      <c r="E113" s="5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>
      <c r="A114" s="3"/>
      <c r="B114" s="50"/>
      <c r="C114" s="50"/>
      <c r="D114" s="50"/>
      <c r="E114" s="5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>
      <c r="A115" s="3"/>
      <c r="B115" s="50"/>
      <c r="C115" s="50"/>
      <c r="D115" s="50"/>
      <c r="E115" s="5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>
      <c r="A116" s="3"/>
      <c r="B116" s="50"/>
      <c r="C116" s="50"/>
      <c r="D116" s="50"/>
      <c r="E116" s="5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>
      <c r="A117" s="3"/>
      <c r="B117" s="50"/>
      <c r="C117" s="50"/>
      <c r="D117" s="50"/>
      <c r="E117" s="5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>
      <c r="A118" s="3"/>
      <c r="B118" s="50"/>
      <c r="C118" s="50"/>
      <c r="D118" s="50"/>
      <c r="E118" s="5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>
      <c r="A119" s="3"/>
      <c r="B119" s="50"/>
      <c r="C119" s="50"/>
      <c r="D119" s="50"/>
      <c r="E119" s="5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>
      <c r="A120" s="3"/>
      <c r="B120" s="50"/>
      <c r="C120" s="50"/>
      <c r="D120" s="50"/>
      <c r="E120" s="5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3"/>
      <c r="B121" s="50"/>
      <c r="C121" s="50"/>
      <c r="D121" s="50"/>
      <c r="E121" s="5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3"/>
      <c r="B122" s="50"/>
      <c r="C122" s="50"/>
      <c r="D122" s="50"/>
      <c r="E122" s="5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3"/>
      <c r="B123" s="50"/>
      <c r="C123" s="50"/>
      <c r="D123" s="50"/>
      <c r="E123" s="5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50"/>
      <c r="C124" s="50"/>
      <c r="D124" s="50"/>
      <c r="E124" s="5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50"/>
      <c r="C125" s="50"/>
      <c r="D125" s="50"/>
      <c r="E125" s="5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50"/>
      <c r="C126" s="50"/>
      <c r="D126" s="50"/>
      <c r="E126" s="5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50"/>
      <c r="C127" s="50"/>
      <c r="D127" s="50"/>
      <c r="E127" s="5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50"/>
      <c r="C128" s="50"/>
      <c r="D128" s="50"/>
      <c r="E128" s="5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50"/>
      <c r="C129" s="50"/>
      <c r="D129" s="50"/>
      <c r="E129" s="5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50"/>
      <c r="C130" s="50"/>
      <c r="D130" s="50"/>
      <c r="E130" s="5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50"/>
      <c r="C131" s="50"/>
      <c r="D131" s="50"/>
      <c r="E131" s="5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50"/>
      <c r="C132" s="50"/>
      <c r="D132" s="50"/>
      <c r="E132" s="5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50"/>
      <c r="C133" s="50"/>
      <c r="D133" s="50"/>
      <c r="E133" s="5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50"/>
      <c r="C134" s="50"/>
      <c r="D134" s="50"/>
      <c r="E134" s="5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50"/>
      <c r="C135" s="50"/>
      <c r="D135" s="50"/>
      <c r="E135" s="5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50"/>
      <c r="C136" s="50"/>
      <c r="D136" s="50"/>
      <c r="E136" s="5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>
      <c r="A137" s="3"/>
      <c r="B137" s="50"/>
      <c r="C137" s="50"/>
      <c r="D137" s="50"/>
      <c r="E137" s="5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>
      <c r="A138" s="3"/>
      <c r="B138" s="50"/>
      <c r="C138" s="50"/>
      <c r="D138" s="50"/>
      <c r="E138" s="5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>
      <c r="A139" s="3"/>
      <c r="B139" s="50"/>
      <c r="C139" s="50"/>
      <c r="D139" s="50"/>
      <c r="E139" s="5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>
      <c r="A140" s="3"/>
      <c r="B140" s="50"/>
      <c r="C140" s="50"/>
      <c r="D140" s="50"/>
      <c r="E140" s="5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>
      <c r="A141" s="3"/>
      <c r="B141" s="50"/>
      <c r="C141" s="50"/>
      <c r="D141" s="50"/>
      <c r="E141" s="5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>
      <c r="A142" s="3"/>
      <c r="B142" s="50"/>
      <c r="C142" s="50"/>
      <c r="D142" s="50"/>
      <c r="E142" s="5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>
      <c r="A143" s="3"/>
      <c r="B143" s="50"/>
      <c r="C143" s="50"/>
      <c r="D143" s="50"/>
      <c r="E143" s="5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>
      <c r="A144" s="3"/>
      <c r="B144" s="50"/>
      <c r="C144" s="50"/>
      <c r="D144" s="50"/>
      <c r="E144" s="5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>
      <c r="A145" s="3"/>
      <c r="B145" s="50"/>
      <c r="C145" s="50"/>
      <c r="D145" s="50"/>
      <c r="E145" s="5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>
      <c r="A146" s="3"/>
      <c r="B146" s="50"/>
      <c r="C146" s="50"/>
      <c r="D146" s="50"/>
      <c r="E146" s="5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>
      <c r="A147" s="3"/>
      <c r="B147" s="50"/>
      <c r="C147" s="50"/>
      <c r="D147" s="50"/>
      <c r="E147" s="5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>
      <c r="A148" s="3"/>
      <c r="B148" s="50"/>
      <c r="C148" s="50"/>
      <c r="D148" s="50"/>
      <c r="E148" s="5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>
      <c r="A149" s="3"/>
      <c r="B149" s="50"/>
      <c r="C149" s="50"/>
      <c r="D149" s="50"/>
      <c r="E149" s="5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>
      <c r="A150" s="3"/>
      <c r="B150" s="50"/>
      <c r="C150" s="50"/>
      <c r="D150" s="50"/>
      <c r="E150" s="5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>
      <c r="A151" s="3"/>
      <c r="B151" s="50"/>
      <c r="C151" s="50"/>
      <c r="D151" s="50"/>
      <c r="E151" s="5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>
      <c r="A152" s="3"/>
      <c r="B152" s="50"/>
      <c r="C152" s="50"/>
      <c r="D152" s="50"/>
      <c r="E152" s="5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>
      <c r="A153" s="3"/>
      <c r="B153" s="50"/>
      <c r="C153" s="50"/>
      <c r="D153" s="50"/>
      <c r="E153" s="5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>
      <c r="A154" s="3"/>
      <c r="B154" s="50"/>
      <c r="C154" s="50"/>
      <c r="D154" s="50"/>
      <c r="E154" s="5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>
      <c r="A155" s="3"/>
      <c r="B155" s="50"/>
      <c r="C155" s="50"/>
      <c r="D155" s="50"/>
      <c r="E155" s="5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>
      <c r="A156" s="3"/>
      <c r="B156" s="50"/>
      <c r="C156" s="50"/>
      <c r="D156" s="50"/>
      <c r="E156" s="5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>
      <c r="A157" s="3"/>
      <c r="B157" s="50"/>
      <c r="C157" s="50"/>
      <c r="D157" s="50"/>
      <c r="E157" s="5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>
      <c r="A158" s="3"/>
      <c r="B158" s="50"/>
      <c r="C158" s="50"/>
      <c r="D158" s="50"/>
      <c r="E158" s="5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>
      <c r="A159" s="3"/>
      <c r="B159" s="50"/>
      <c r="C159" s="50"/>
      <c r="D159" s="50"/>
      <c r="E159" s="5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>
      <c r="A160" s="3"/>
      <c r="B160" s="50"/>
      <c r="C160" s="50"/>
      <c r="D160" s="50"/>
      <c r="E160" s="5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>
      <c r="A161" s="3"/>
      <c r="B161" s="50"/>
      <c r="C161" s="50"/>
      <c r="D161" s="50"/>
      <c r="E161" s="5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>
      <c r="A162" s="3"/>
      <c r="B162" s="50"/>
      <c r="C162" s="50"/>
      <c r="D162" s="50"/>
      <c r="E162" s="5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>
      <c r="A163" s="3"/>
      <c r="B163" s="50"/>
      <c r="C163" s="50"/>
      <c r="D163" s="50"/>
      <c r="E163" s="5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>
      <c r="A164" s="3"/>
      <c r="B164" s="50"/>
      <c r="C164" s="50"/>
      <c r="D164" s="50"/>
      <c r="E164" s="5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>
      <c r="A165" s="3"/>
      <c r="B165" s="50"/>
      <c r="C165" s="50"/>
      <c r="D165" s="50"/>
      <c r="E165" s="5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>
      <c r="A166" s="3"/>
      <c r="B166" s="50"/>
      <c r="C166" s="50"/>
      <c r="D166" s="50"/>
      <c r="E166" s="5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>
      <c r="A167" s="3"/>
      <c r="B167" s="50"/>
      <c r="C167" s="50"/>
      <c r="D167" s="50"/>
      <c r="E167" s="5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>
      <c r="A168" s="3"/>
      <c r="B168" s="50"/>
      <c r="C168" s="50"/>
      <c r="D168" s="50"/>
      <c r="E168" s="5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>
      <c r="A169" s="3"/>
      <c r="B169" s="50"/>
      <c r="C169" s="50"/>
      <c r="D169" s="50"/>
      <c r="E169" s="5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>
      <c r="A170" s="3"/>
      <c r="B170" s="50"/>
      <c r="C170" s="50"/>
      <c r="D170" s="50"/>
      <c r="E170" s="5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>
      <c r="A171" s="3"/>
      <c r="B171" s="50"/>
      <c r="C171" s="50"/>
      <c r="D171" s="50"/>
      <c r="E171" s="5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>
      <c r="A172" s="3"/>
      <c r="B172" s="50"/>
      <c r="C172" s="50"/>
      <c r="D172" s="50"/>
      <c r="E172" s="5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>
      <c r="A173" s="3"/>
      <c r="B173" s="50"/>
      <c r="C173" s="50"/>
      <c r="D173" s="50"/>
      <c r="E173" s="5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>
      <c r="A174" s="3"/>
      <c r="B174" s="50"/>
      <c r="C174" s="50"/>
      <c r="D174" s="50"/>
      <c r="E174" s="5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>
      <c r="A175" s="3"/>
      <c r="B175" s="50"/>
      <c r="C175" s="50"/>
      <c r="D175" s="50"/>
      <c r="E175" s="5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>
      <c r="A176" s="3"/>
      <c r="B176" s="50"/>
      <c r="C176" s="50"/>
      <c r="D176" s="50"/>
      <c r="E176" s="5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>
      <c r="A177" s="3"/>
      <c r="B177" s="50"/>
      <c r="C177" s="50"/>
      <c r="D177" s="50"/>
      <c r="E177" s="5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>
      <c r="A178" s="3"/>
      <c r="B178" s="50"/>
      <c r="C178" s="50"/>
      <c r="D178" s="50"/>
      <c r="E178" s="5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>
      <c r="A179" s="3"/>
      <c r="B179" s="50"/>
      <c r="C179" s="50"/>
      <c r="D179" s="50"/>
      <c r="E179" s="5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>
      <c r="A180" s="3"/>
      <c r="B180" s="50"/>
      <c r="C180" s="50"/>
      <c r="D180" s="50"/>
      <c r="E180" s="5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>
      <c r="A181" s="3"/>
      <c r="B181" s="50"/>
      <c r="C181" s="50"/>
      <c r="D181" s="50"/>
      <c r="E181" s="5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>
      <c r="A182" s="3"/>
      <c r="B182" s="50"/>
      <c r="C182" s="50"/>
      <c r="D182" s="50"/>
      <c r="E182" s="5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>
      <c r="A183" s="3"/>
      <c r="B183" s="50"/>
      <c r="C183" s="50"/>
      <c r="D183" s="50"/>
      <c r="E183" s="5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>
      <c r="A184" s="3"/>
      <c r="B184" s="50"/>
      <c r="C184" s="50"/>
      <c r="D184" s="50"/>
      <c r="E184" s="5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>
      <c r="A185" s="3"/>
      <c r="B185" s="50"/>
      <c r="C185" s="50"/>
      <c r="D185" s="50"/>
      <c r="E185" s="5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>
      <c r="A186" s="3"/>
      <c r="B186" s="50"/>
      <c r="C186" s="50"/>
      <c r="D186" s="50"/>
      <c r="E186" s="5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>
      <c r="A187" s="3"/>
      <c r="B187" s="50"/>
      <c r="C187" s="50"/>
      <c r="D187" s="50"/>
      <c r="E187" s="5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>
      <c r="A188" s="3"/>
      <c r="B188" s="50"/>
      <c r="C188" s="50"/>
      <c r="D188" s="50"/>
      <c r="E188" s="5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>
      <c r="A189" s="3"/>
      <c r="B189" s="50"/>
      <c r="C189" s="50"/>
      <c r="D189" s="50"/>
      <c r="E189" s="5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>
      <c r="A190" s="3"/>
      <c r="B190" s="50"/>
      <c r="C190" s="50"/>
      <c r="D190" s="50"/>
      <c r="E190" s="5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>
      <c r="A191" s="3"/>
      <c r="B191" s="50"/>
      <c r="C191" s="50"/>
      <c r="D191" s="50"/>
      <c r="E191" s="5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>
      <c r="A192" s="3"/>
      <c r="B192" s="50"/>
      <c r="C192" s="50"/>
      <c r="D192" s="50"/>
      <c r="E192" s="5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>
      <c r="A193" s="3"/>
      <c r="B193" s="50"/>
      <c r="C193" s="50"/>
      <c r="D193" s="50"/>
      <c r="E193" s="5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>
      <c r="A194" s="3"/>
      <c r="B194" s="50"/>
      <c r="C194" s="50"/>
      <c r="D194" s="50"/>
      <c r="E194" s="5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>
      <c r="A195" s="3"/>
      <c r="B195" s="50"/>
      <c r="C195" s="50"/>
      <c r="D195" s="50"/>
      <c r="E195" s="5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>
      <c r="A196" s="3"/>
      <c r="B196" s="50"/>
      <c r="C196" s="50"/>
      <c r="D196" s="50"/>
      <c r="E196" s="5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>
      <c r="A197" s="3"/>
      <c r="B197" s="50"/>
      <c r="C197" s="50"/>
      <c r="D197" s="50"/>
      <c r="E197" s="5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>
      <c r="A198" s="3"/>
      <c r="B198" s="50"/>
      <c r="C198" s="50"/>
      <c r="D198" s="50"/>
      <c r="E198" s="5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>
      <c r="A199" s="3"/>
      <c r="B199" s="50"/>
      <c r="C199" s="50"/>
      <c r="D199" s="50"/>
      <c r="E199" s="5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>
      <c r="A200" s="3"/>
      <c r="B200" s="50"/>
      <c r="C200" s="50"/>
      <c r="D200" s="50"/>
      <c r="E200" s="5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>
      <c r="A201" s="3"/>
      <c r="B201" s="50"/>
      <c r="C201" s="50"/>
      <c r="D201" s="50"/>
      <c r="E201" s="5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>
      <c r="A202" s="3"/>
      <c r="B202" s="50"/>
      <c r="C202" s="50"/>
      <c r="D202" s="50"/>
      <c r="E202" s="5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>
      <c r="A203" s="3"/>
      <c r="B203" s="50"/>
      <c r="C203" s="50"/>
      <c r="D203" s="50"/>
      <c r="E203" s="5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>
      <c r="A204" s="3"/>
      <c r="B204" s="50"/>
      <c r="C204" s="50"/>
      <c r="D204" s="50"/>
      <c r="E204" s="5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>
      <c r="A205" s="3"/>
      <c r="B205" s="50"/>
      <c r="C205" s="50"/>
      <c r="D205" s="50"/>
      <c r="E205" s="5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>
      <c r="A206" s="3"/>
      <c r="B206" s="50"/>
      <c r="C206" s="50"/>
      <c r="D206" s="50"/>
      <c r="E206" s="5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>
      <c r="A207" s="3"/>
      <c r="B207" s="50"/>
      <c r="C207" s="50"/>
      <c r="D207" s="50"/>
      <c r="E207" s="5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>
      <c r="A208" s="3"/>
      <c r="B208" s="50"/>
      <c r="C208" s="50"/>
      <c r="D208" s="50"/>
      <c r="E208" s="5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>
      <c r="A209" s="3"/>
      <c r="B209" s="50"/>
      <c r="C209" s="50"/>
      <c r="D209" s="50"/>
      <c r="E209" s="5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>
      <c r="A210" s="3"/>
      <c r="B210" s="50"/>
      <c r="C210" s="50"/>
      <c r="D210" s="50"/>
      <c r="E210" s="5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>
      <c r="A211" s="3"/>
      <c r="B211" s="50"/>
      <c r="C211" s="50"/>
      <c r="D211" s="50"/>
      <c r="E211" s="5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>
      <c r="A212" s="3"/>
      <c r="B212" s="50"/>
      <c r="C212" s="50"/>
      <c r="D212" s="50"/>
      <c r="E212" s="5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>
      <c r="A213" s="3"/>
      <c r="B213" s="50"/>
      <c r="C213" s="50"/>
      <c r="D213" s="50"/>
      <c r="E213" s="5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>
      <c r="A214" s="3"/>
      <c r="B214" s="50"/>
      <c r="C214" s="50"/>
      <c r="D214" s="50"/>
      <c r="E214" s="5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>
      <c r="A215" s="3"/>
      <c r="B215" s="50"/>
      <c r="C215" s="50"/>
      <c r="D215" s="50"/>
      <c r="E215" s="5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>
      <c r="A216" s="3"/>
      <c r="B216" s="50"/>
      <c r="C216" s="50"/>
      <c r="D216" s="50"/>
      <c r="E216" s="5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>
      <c r="A217" s="3"/>
      <c r="B217" s="50"/>
      <c r="C217" s="50"/>
      <c r="D217" s="50"/>
      <c r="E217" s="5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>
      <c r="A218" s="3"/>
      <c r="B218" s="50"/>
      <c r="C218" s="50"/>
      <c r="D218" s="50"/>
      <c r="E218" s="5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>
      <c r="A219" s="3"/>
      <c r="B219" s="50"/>
      <c r="C219" s="50"/>
      <c r="D219" s="50"/>
      <c r="E219" s="5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3"/>
      <c r="B220" s="50"/>
      <c r="C220" s="50"/>
      <c r="D220" s="50"/>
      <c r="E220" s="5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>
      <c r="A221" s="3"/>
      <c r="B221" s="50"/>
      <c r="C221" s="50"/>
      <c r="D221" s="50"/>
      <c r="E221" s="5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>
      <c r="A222" s="3"/>
      <c r="B222" s="50"/>
      <c r="C222" s="50"/>
      <c r="D222" s="50"/>
      <c r="E222" s="5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>
      <c r="A223" s="3"/>
      <c r="B223" s="50"/>
      <c r="C223" s="50"/>
      <c r="D223" s="50"/>
      <c r="E223" s="5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>
      <c r="A224" s="3"/>
      <c r="B224" s="50"/>
      <c r="C224" s="50"/>
      <c r="D224" s="50"/>
      <c r="E224" s="5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>
      <c r="A225" s="3"/>
      <c r="B225" s="50"/>
      <c r="C225" s="50"/>
      <c r="D225" s="50"/>
      <c r="E225" s="5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>
      <c r="A226" s="3"/>
      <c r="B226" s="50"/>
      <c r="C226" s="50"/>
      <c r="D226" s="50"/>
      <c r="E226" s="5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>
      <c r="A227" s="3"/>
      <c r="B227" s="50"/>
      <c r="C227" s="50"/>
      <c r="D227" s="50"/>
      <c r="E227" s="5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>
      <c r="A228" s="3"/>
      <c r="B228" s="50"/>
      <c r="C228" s="50"/>
      <c r="D228" s="50"/>
      <c r="E228" s="5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>
      <c r="A229" s="3"/>
      <c r="B229" s="50"/>
      <c r="C229" s="50"/>
      <c r="D229" s="50"/>
      <c r="E229" s="5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>
      <c r="A230" s="3"/>
      <c r="B230" s="50"/>
      <c r="C230" s="50"/>
      <c r="D230" s="50"/>
      <c r="E230" s="5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>
      <c r="A231" s="3"/>
      <c r="B231" s="50"/>
      <c r="C231" s="50"/>
      <c r="D231" s="50"/>
      <c r="E231" s="5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>
      <c r="A232" s="3"/>
      <c r="B232" s="50"/>
      <c r="C232" s="50"/>
      <c r="D232" s="50"/>
      <c r="E232" s="5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>
      <c r="A233" s="3"/>
      <c r="B233" s="50"/>
      <c r="C233" s="50"/>
      <c r="D233" s="50"/>
      <c r="E233" s="5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>
      <c r="A234" s="3"/>
      <c r="B234" s="50"/>
      <c r="C234" s="50"/>
      <c r="D234" s="50"/>
      <c r="E234" s="5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>
      <c r="A235" s="3"/>
      <c r="B235" s="50"/>
      <c r="C235" s="50"/>
      <c r="D235" s="50"/>
      <c r="E235" s="5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>
      <c r="A236" s="3"/>
      <c r="B236" s="50"/>
      <c r="C236" s="50"/>
      <c r="D236" s="50"/>
      <c r="E236" s="5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>
      <c r="A237" s="3"/>
      <c r="B237" s="50"/>
      <c r="C237" s="50"/>
      <c r="D237" s="50"/>
      <c r="E237" s="5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>
      <c r="A238" s="3"/>
      <c r="B238" s="50"/>
      <c r="C238" s="50"/>
      <c r="D238" s="50"/>
      <c r="E238" s="5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>
      <c r="A239" s="3"/>
      <c r="B239" s="50"/>
      <c r="C239" s="50"/>
      <c r="D239" s="50"/>
      <c r="E239" s="5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>
      <c r="A240" s="3"/>
      <c r="B240" s="50"/>
      <c r="C240" s="50"/>
      <c r="D240" s="50"/>
      <c r="E240" s="5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>
      <c r="A241" s="3"/>
      <c r="B241" s="50"/>
      <c r="C241" s="50"/>
      <c r="D241" s="50"/>
      <c r="E241" s="5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>
      <c r="A242" s="3"/>
      <c r="B242" s="50"/>
      <c r="C242" s="50"/>
      <c r="D242" s="50"/>
      <c r="E242" s="5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>
      <c r="A243" s="3"/>
      <c r="B243" s="50"/>
      <c r="C243" s="50"/>
      <c r="D243" s="50"/>
      <c r="E243" s="5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>
      <c r="A244" s="3"/>
      <c r="B244" s="50"/>
      <c r="C244" s="50"/>
      <c r="D244" s="50"/>
      <c r="E244" s="5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>
      <c r="A245" s="3"/>
      <c r="B245" s="50"/>
      <c r="C245" s="50"/>
      <c r="D245" s="50"/>
      <c r="E245" s="5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>
      <c r="A246" s="3"/>
      <c r="B246" s="50"/>
      <c r="C246" s="50"/>
      <c r="D246" s="50"/>
      <c r="E246" s="5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>
      <c r="A247" s="3"/>
      <c r="B247" s="50"/>
      <c r="C247" s="50"/>
      <c r="D247" s="50"/>
      <c r="E247" s="5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>
      <c r="A248" s="3"/>
      <c r="B248" s="50"/>
      <c r="C248" s="50"/>
      <c r="D248" s="50"/>
      <c r="E248" s="5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>
      <c r="A249" s="3"/>
      <c r="B249" s="50"/>
      <c r="C249" s="50"/>
      <c r="D249" s="50"/>
      <c r="E249" s="5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>
      <c r="A250" s="3"/>
      <c r="B250" s="50"/>
      <c r="C250" s="50"/>
      <c r="D250" s="50"/>
      <c r="E250" s="5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>
      <c r="A251" s="3"/>
      <c r="B251" s="50"/>
      <c r="C251" s="50"/>
      <c r="D251" s="50"/>
      <c r="E251" s="5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>
      <c r="A252" s="3"/>
      <c r="B252" s="50"/>
      <c r="C252" s="50"/>
      <c r="D252" s="50"/>
      <c r="E252" s="5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>
      <c r="A253" s="3"/>
      <c r="B253" s="50"/>
      <c r="C253" s="50"/>
      <c r="D253" s="50"/>
      <c r="E253" s="5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>
      <c r="A254" s="3"/>
      <c r="B254" s="50"/>
      <c r="C254" s="50"/>
      <c r="D254" s="50"/>
      <c r="E254" s="5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>
      <c r="A255" s="3"/>
      <c r="B255" s="50"/>
      <c r="C255" s="50"/>
      <c r="D255" s="50"/>
      <c r="E255" s="5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>
      <c r="A256" s="3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0000"/>
    <outlinePr summaryBelow="0" summaryRight="0"/>
  </sheetPr>
  <dimension ref="A1:AJ1001"/>
  <sheetViews>
    <sheetView topLeftCell="A10" workbookViewId="0">
      <selection activeCell="A38" sqref="A38:XFD38"/>
    </sheetView>
  </sheetViews>
  <sheetFormatPr defaultColWidth="14.453125" defaultRowHeight="15" customHeight="1"/>
  <cols>
    <col min="1" max="1" width="3.54296875" customWidth="1"/>
    <col min="2" max="2" width="72.453125" customWidth="1"/>
    <col min="3" max="3" width="39.81640625" customWidth="1"/>
    <col min="4" max="4" width="37.26953125" customWidth="1"/>
    <col min="5" max="5" width="13.26953125" customWidth="1"/>
    <col min="6" max="6" width="64.81640625" customWidth="1"/>
  </cols>
  <sheetData>
    <row r="1" spans="1:36" ht="15.5">
      <c r="A1" s="1" t="s">
        <v>0</v>
      </c>
      <c r="B1" s="1" t="s">
        <v>1</v>
      </c>
      <c r="C1" s="2" t="s">
        <v>2</v>
      </c>
      <c r="D1" s="1" t="s">
        <v>27</v>
      </c>
      <c r="E1" s="149"/>
      <c r="F1" s="1" t="s">
        <v>41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ht="15.5">
      <c r="A2" s="8">
        <v>1</v>
      </c>
      <c r="B2" s="9" t="s">
        <v>1038</v>
      </c>
      <c r="C2" s="31" t="s">
        <v>1039</v>
      </c>
      <c r="D2" s="7"/>
      <c r="E2" s="7" t="s">
        <v>30</v>
      </c>
      <c r="F2" s="5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15.5">
      <c r="A3" s="10">
        <v>2</v>
      </c>
      <c r="B3" s="9" t="s">
        <v>1040</v>
      </c>
      <c r="C3" s="9" t="s">
        <v>1041</v>
      </c>
      <c r="D3" s="438"/>
      <c r="E3" s="7" t="s">
        <v>30</v>
      </c>
      <c r="F3" s="5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5.5">
      <c r="A4" s="158">
        <v>4</v>
      </c>
      <c r="B4" s="201" t="s">
        <v>1042</v>
      </c>
      <c r="C4" s="201" t="s">
        <v>1043</v>
      </c>
      <c r="D4" s="243"/>
      <c r="E4" s="243" t="s">
        <v>78</v>
      </c>
      <c r="F4" s="160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</row>
    <row r="5" spans="1:36" ht="15.5">
      <c r="A5" s="164">
        <v>5</v>
      </c>
      <c r="B5" s="439" t="s">
        <v>1044</v>
      </c>
      <c r="C5" s="439" t="s">
        <v>1045</v>
      </c>
      <c r="D5" s="68"/>
      <c r="E5" s="69" t="s">
        <v>78</v>
      </c>
      <c r="F5" s="160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15.5">
      <c r="A6" s="440">
        <v>6</v>
      </c>
      <c r="B6" s="361" t="s">
        <v>1046</v>
      </c>
      <c r="C6" s="362" t="s">
        <v>1047</v>
      </c>
      <c r="D6" s="57"/>
      <c r="E6" s="23" t="s">
        <v>78</v>
      </c>
      <c r="F6" s="160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15.5">
      <c r="A7" s="167">
        <v>9</v>
      </c>
      <c r="B7" s="42" t="s">
        <v>1048</v>
      </c>
      <c r="C7" s="42" t="s">
        <v>1049</v>
      </c>
      <c r="D7" s="259"/>
      <c r="E7" s="27" t="s">
        <v>7</v>
      </c>
      <c r="F7" s="2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15.5">
      <c r="A8" s="316">
        <v>10</v>
      </c>
      <c r="B8" s="42" t="s">
        <v>1050</v>
      </c>
      <c r="C8" s="42">
        <v>83991169858</v>
      </c>
      <c r="D8" s="292"/>
      <c r="E8" s="84" t="s">
        <v>17</v>
      </c>
      <c r="F8" s="2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15.5">
      <c r="A9" s="167">
        <v>11</v>
      </c>
      <c r="B9" s="42" t="s">
        <v>1051</v>
      </c>
      <c r="C9" s="42" t="s">
        <v>1052</v>
      </c>
      <c r="D9" s="91"/>
      <c r="E9" s="81" t="s">
        <v>17</v>
      </c>
      <c r="F9" s="2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15.5">
      <c r="A10" s="167">
        <v>12</v>
      </c>
      <c r="B10" s="36" t="s">
        <v>1053</v>
      </c>
      <c r="C10" s="42" t="s">
        <v>1054</v>
      </c>
      <c r="D10" s="91"/>
      <c r="E10" s="265" t="s">
        <v>17</v>
      </c>
      <c r="F10" s="2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15.5">
      <c r="A11" s="316">
        <v>13</v>
      </c>
      <c r="B11" s="42" t="s">
        <v>1055</v>
      </c>
      <c r="C11" s="42" t="s">
        <v>1056</v>
      </c>
      <c r="D11" s="86"/>
      <c r="E11" s="27" t="s">
        <v>7</v>
      </c>
      <c r="F11" s="2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15.5">
      <c r="A12" s="167">
        <v>14</v>
      </c>
      <c r="B12" s="42" t="s">
        <v>1057</v>
      </c>
      <c r="C12" s="42" t="s">
        <v>1058</v>
      </c>
      <c r="D12" s="42"/>
      <c r="E12" s="42" t="s">
        <v>17</v>
      </c>
      <c r="F12" s="2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15.5">
      <c r="A13" s="167">
        <v>15</v>
      </c>
      <c r="B13" s="36" t="s">
        <v>1059</v>
      </c>
      <c r="C13" s="36" t="s">
        <v>1060</v>
      </c>
      <c r="D13" s="110"/>
      <c r="E13" s="27" t="s">
        <v>17</v>
      </c>
      <c r="F13" s="2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15.5">
      <c r="A14" s="316">
        <v>16</v>
      </c>
      <c r="B14" s="42" t="s">
        <v>1061</v>
      </c>
      <c r="C14" s="42" t="s">
        <v>1062</v>
      </c>
      <c r="D14" s="75"/>
      <c r="E14" s="27" t="s">
        <v>17</v>
      </c>
      <c r="F14" s="2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15.5">
      <c r="A15" s="167">
        <v>17</v>
      </c>
      <c r="B15" s="42" t="s">
        <v>1063</v>
      </c>
      <c r="C15" s="81" t="s">
        <v>1064</v>
      </c>
      <c r="D15" s="441"/>
      <c r="E15" s="86" t="s">
        <v>17</v>
      </c>
      <c r="F15" s="2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15.5">
      <c r="A16" s="167">
        <v>18</v>
      </c>
      <c r="B16" s="97" t="s">
        <v>1065</v>
      </c>
      <c r="C16" s="97" t="s">
        <v>1066</v>
      </c>
      <c r="D16" s="91"/>
      <c r="E16" s="81" t="s">
        <v>7</v>
      </c>
      <c r="F16" s="2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15.5">
      <c r="A17" s="316">
        <v>19</v>
      </c>
      <c r="B17" s="351" t="s">
        <v>1067</v>
      </c>
      <c r="C17" s="349" t="s">
        <v>1068</v>
      </c>
      <c r="D17" s="86"/>
      <c r="E17" s="86" t="s">
        <v>17</v>
      </c>
      <c r="F17" s="7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15.5">
      <c r="A18" s="167">
        <v>20</v>
      </c>
      <c r="B18" s="45" t="s">
        <v>1069</v>
      </c>
      <c r="C18" s="45">
        <v>83996893223</v>
      </c>
      <c r="D18" s="82"/>
      <c r="E18" s="265" t="s">
        <v>7</v>
      </c>
      <c r="F18" s="2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15.5">
      <c r="A19" s="167">
        <v>21</v>
      </c>
      <c r="B19" s="108" t="s">
        <v>1070</v>
      </c>
      <c r="C19" s="349" t="s">
        <v>1071</v>
      </c>
      <c r="D19" s="419"/>
      <c r="E19" s="86" t="s">
        <v>17</v>
      </c>
      <c r="F19" s="2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15.5">
      <c r="A20" s="316">
        <v>22</v>
      </c>
      <c r="B20" s="45" t="s">
        <v>1072</v>
      </c>
      <c r="C20" s="45" t="s">
        <v>1073</v>
      </c>
      <c r="D20" s="88"/>
      <c r="E20" s="87" t="s">
        <v>17</v>
      </c>
      <c r="F20" s="2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15.5">
      <c r="A21" s="167">
        <v>23</v>
      </c>
      <c r="B21" s="351" t="s">
        <v>1074</v>
      </c>
      <c r="C21" s="349" t="s">
        <v>1075</v>
      </c>
      <c r="D21" s="88"/>
      <c r="E21" s="87" t="s">
        <v>17</v>
      </c>
      <c r="F21" s="7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15.5">
      <c r="A22" s="167">
        <v>27</v>
      </c>
      <c r="B22" s="97" t="s">
        <v>1076</v>
      </c>
      <c r="C22" s="97" t="s">
        <v>1077</v>
      </c>
      <c r="D22" s="84"/>
      <c r="E22" s="84" t="s">
        <v>17</v>
      </c>
      <c r="F22" s="7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15.5">
      <c r="A23" s="316">
        <v>28</v>
      </c>
      <c r="B23" s="45" t="s">
        <v>1078</v>
      </c>
      <c r="C23" s="45" t="s">
        <v>1079</v>
      </c>
      <c r="D23" s="442"/>
      <c r="E23" s="86" t="s">
        <v>17</v>
      </c>
      <c r="F23" s="7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15.5">
      <c r="A24" s="167">
        <v>29</v>
      </c>
      <c r="B24" s="45" t="s">
        <v>1080</v>
      </c>
      <c r="C24" s="45" t="s">
        <v>1081</v>
      </c>
      <c r="D24" s="86"/>
      <c r="E24" s="86" t="s">
        <v>7</v>
      </c>
      <c r="F24" s="7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15.5">
      <c r="A25" s="316">
        <v>31</v>
      </c>
      <c r="B25" s="45" t="s">
        <v>1082</v>
      </c>
      <c r="C25" s="45" t="s">
        <v>1083</v>
      </c>
      <c r="D25" s="110"/>
      <c r="E25" s="27" t="s">
        <v>17</v>
      </c>
      <c r="F25" s="7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15.75" customHeight="1">
      <c r="A26" s="167">
        <v>33</v>
      </c>
      <c r="B26" s="320" t="s">
        <v>1084</v>
      </c>
      <c r="C26" s="184" t="s">
        <v>1085</v>
      </c>
      <c r="D26" s="91"/>
      <c r="E26" s="27" t="s">
        <v>7</v>
      </c>
      <c r="F26" s="9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15.75" customHeight="1">
      <c r="A27" s="167">
        <v>35</v>
      </c>
      <c r="B27" s="45" t="s">
        <v>1086</v>
      </c>
      <c r="C27" s="45" t="s">
        <v>1087</v>
      </c>
      <c r="D27" s="443"/>
      <c r="E27" s="27" t="s">
        <v>17</v>
      </c>
      <c r="F27" s="9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15.75" customHeight="1">
      <c r="A28" s="3">
        <v>36</v>
      </c>
      <c r="B28" s="351" t="s">
        <v>1088</v>
      </c>
      <c r="C28" s="349" t="s">
        <v>1089</v>
      </c>
      <c r="D28" s="258"/>
      <c r="E28" s="79" t="s">
        <v>17</v>
      </c>
      <c r="F28" s="3"/>
      <c r="G28" s="228"/>
      <c r="H28" s="228"/>
      <c r="I28" s="239"/>
      <c r="J28" s="239"/>
      <c r="K28" s="239"/>
      <c r="L28" s="240"/>
      <c r="M28" s="239"/>
      <c r="N28" s="240"/>
      <c r="O28" s="239"/>
      <c r="P28" s="239"/>
      <c r="Q28" s="239"/>
      <c r="R28" s="240"/>
      <c r="S28" s="46"/>
      <c r="T28" s="46"/>
      <c r="U28" s="46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15.75" customHeight="1">
      <c r="A29" s="167">
        <v>38</v>
      </c>
      <c r="B29" s="45" t="s">
        <v>1090</v>
      </c>
      <c r="C29" s="45" t="s">
        <v>1091</v>
      </c>
      <c r="D29" s="25"/>
      <c r="E29" s="25" t="s">
        <v>17</v>
      </c>
      <c r="F29" s="9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15.75" customHeight="1">
      <c r="A30" s="167">
        <v>39</v>
      </c>
      <c r="B30" s="45" t="s">
        <v>1092</v>
      </c>
      <c r="C30" s="45" t="s">
        <v>1093</v>
      </c>
      <c r="D30" s="25"/>
      <c r="E30" s="25" t="s">
        <v>7</v>
      </c>
      <c r="F30" s="9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15.75" customHeight="1">
      <c r="A31" s="167">
        <v>40</v>
      </c>
      <c r="B31" s="351" t="s">
        <v>1094</v>
      </c>
      <c r="C31" s="349" t="s">
        <v>1095</v>
      </c>
      <c r="D31" s="25"/>
      <c r="E31" s="25" t="s">
        <v>17</v>
      </c>
      <c r="F31" s="9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15.75" customHeight="1">
      <c r="A32" s="167">
        <v>41</v>
      </c>
      <c r="B32" s="45" t="s">
        <v>1096</v>
      </c>
      <c r="C32" s="45" t="s">
        <v>1097</v>
      </c>
      <c r="D32" s="25"/>
      <c r="E32" s="25" t="s">
        <v>17</v>
      </c>
      <c r="F32" s="9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15.75" customHeight="1">
      <c r="A33" s="167">
        <v>42</v>
      </c>
      <c r="B33" s="45" t="s">
        <v>1098</v>
      </c>
      <c r="C33" s="348">
        <v>83999135794</v>
      </c>
      <c r="D33" s="25"/>
      <c r="E33" s="25" t="s">
        <v>17</v>
      </c>
      <c r="F33" s="9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15.75" customHeight="1">
      <c r="A34" s="167">
        <v>43</v>
      </c>
      <c r="B34" s="44" t="s">
        <v>1099</v>
      </c>
      <c r="C34" s="97" t="s">
        <v>1100</v>
      </c>
      <c r="D34" s="25"/>
      <c r="E34" s="25" t="s">
        <v>17</v>
      </c>
      <c r="F34" s="9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15.75" customHeight="1">
      <c r="A35" s="167">
        <v>44</v>
      </c>
      <c r="B35" s="44" t="s">
        <v>1101</v>
      </c>
      <c r="C35" s="44" t="s">
        <v>1102</v>
      </c>
      <c r="D35" s="222"/>
      <c r="E35" s="222" t="s">
        <v>1103</v>
      </c>
      <c r="F35" s="93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</row>
    <row r="36" spans="1:36" ht="15.75" customHeight="1">
      <c r="A36" s="26">
        <v>45</v>
      </c>
      <c r="B36" s="45" t="s">
        <v>1104</v>
      </c>
      <c r="C36" s="45" t="s">
        <v>1105</v>
      </c>
      <c r="D36" s="26"/>
      <c r="E36" s="27" t="s">
        <v>17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</row>
    <row r="37" spans="1:36" ht="15.75" customHeight="1">
      <c r="A37" s="26">
        <v>46</v>
      </c>
      <c r="B37" s="318" t="s">
        <v>1106</v>
      </c>
      <c r="C37" s="318" t="s">
        <v>1107</v>
      </c>
      <c r="D37" s="26"/>
      <c r="E37" s="27" t="s">
        <v>17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</row>
    <row r="38" spans="1:36" ht="15.75" customHeight="1">
      <c r="A38" s="3"/>
      <c r="B38" s="135" t="s">
        <v>1108</v>
      </c>
      <c r="C38" s="444"/>
      <c r="D38" s="3"/>
      <c r="E38" s="5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15.75" customHeight="1">
      <c r="A39" s="3"/>
      <c r="B39" s="140" t="s">
        <v>177</v>
      </c>
      <c r="C39" s="445"/>
      <c r="D39" s="140" t="s">
        <v>35</v>
      </c>
      <c r="E39" s="5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15" customHeight="1">
      <c r="A40" s="3"/>
      <c r="B40" s="50" t="s">
        <v>36</v>
      </c>
      <c r="C40" s="11">
        <v>1</v>
      </c>
      <c r="D40" s="27" t="s">
        <v>36</v>
      </c>
      <c r="E40" s="27">
        <f>COUNTIF(E2:E34, "C")</f>
        <v>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15.75" customHeight="1">
      <c r="A41" s="50"/>
      <c r="B41" s="50" t="s">
        <v>37</v>
      </c>
      <c r="C41" s="11">
        <v>9</v>
      </c>
      <c r="D41" s="27" t="s">
        <v>37</v>
      </c>
      <c r="E41" s="27">
        <f>COUNTIF(E2:E38, "H")</f>
        <v>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15.75" customHeight="1">
      <c r="A42" s="50"/>
      <c r="B42" s="50" t="s">
        <v>38</v>
      </c>
      <c r="C42" s="11">
        <v>21</v>
      </c>
      <c r="D42" s="27" t="s">
        <v>38</v>
      </c>
      <c r="E42" s="27">
        <f>COUNTIF(E2:E38, "M")</f>
        <v>23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15.75" customHeight="1">
      <c r="A43" s="50"/>
      <c r="B43" s="50" t="s">
        <v>39</v>
      </c>
      <c r="C43" s="11">
        <v>2</v>
      </c>
      <c r="D43" s="27" t="s">
        <v>39</v>
      </c>
      <c r="E43" s="27">
        <f>COUNTIF(E2:E26, "cOORD")</f>
        <v>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15.75" customHeight="1">
      <c r="A44" s="50"/>
      <c r="B44" s="50" t="s">
        <v>40</v>
      </c>
      <c r="C44" s="11">
        <v>29</v>
      </c>
      <c r="D44" s="27" t="s">
        <v>40</v>
      </c>
      <c r="E44" s="27">
        <f>SUM(E40:E43)</f>
        <v>35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15.75" customHeight="1">
      <c r="A45" s="50"/>
      <c r="B45" s="3"/>
      <c r="C45" s="3"/>
      <c r="D45" s="3"/>
      <c r="E45" s="5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15.75" customHeight="1">
      <c r="A46" s="50"/>
      <c r="B46" s="50"/>
      <c r="C46" s="50"/>
      <c r="D46" s="50"/>
      <c r="E46" s="5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ht="15.75" customHeight="1">
      <c r="A47" s="50"/>
      <c r="B47" s="50"/>
      <c r="C47" s="50"/>
      <c r="D47" s="50"/>
      <c r="E47" s="5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15.75" customHeight="1">
      <c r="A48" s="50"/>
      <c r="B48" s="50"/>
      <c r="C48" s="50"/>
      <c r="D48" s="50"/>
      <c r="E48" s="5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15.75" customHeight="1">
      <c r="A49" s="50"/>
      <c r="B49" s="50"/>
      <c r="C49" s="50"/>
      <c r="D49" s="50"/>
      <c r="E49" s="5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15.75" customHeight="1">
      <c r="A50" s="50"/>
      <c r="B50" s="50"/>
      <c r="C50" s="50"/>
      <c r="D50" s="50"/>
      <c r="E50" s="5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15.75" customHeight="1">
      <c r="A51" s="50"/>
      <c r="B51" s="50"/>
      <c r="C51" s="50"/>
      <c r="D51" s="50"/>
      <c r="E51" s="5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15.75" customHeight="1">
      <c r="A52" s="50"/>
      <c r="B52" s="50"/>
      <c r="C52" s="50"/>
      <c r="D52" s="50"/>
      <c r="E52" s="5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15.75" customHeight="1">
      <c r="A53" s="50"/>
      <c r="B53" s="50"/>
      <c r="C53" s="50"/>
      <c r="D53" s="50"/>
      <c r="E53" s="5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15.75" customHeight="1">
      <c r="A54" s="50"/>
      <c r="B54" s="50"/>
      <c r="C54" s="50"/>
      <c r="D54" s="50"/>
      <c r="E54" s="5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15.75" customHeight="1">
      <c r="A55" s="50"/>
      <c r="B55" s="50"/>
      <c r="C55" s="50"/>
      <c r="D55" s="50"/>
      <c r="E55" s="5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15.75" customHeight="1">
      <c r="A56" s="50"/>
      <c r="B56" s="50"/>
      <c r="C56" s="50"/>
      <c r="D56" s="50"/>
      <c r="E56" s="50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15.75" customHeight="1">
      <c r="A57" s="50"/>
      <c r="B57" s="50"/>
      <c r="C57" s="50"/>
      <c r="D57" s="50"/>
      <c r="E57" s="5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15.75" customHeight="1">
      <c r="A58" s="50"/>
      <c r="B58" s="50"/>
      <c r="C58" s="50"/>
      <c r="D58" s="50"/>
      <c r="E58" s="5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ht="15.75" customHeight="1">
      <c r="A59" s="50"/>
      <c r="B59" s="50"/>
      <c r="C59" s="50"/>
      <c r="D59" s="50"/>
      <c r="E59" s="5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15.75" customHeight="1">
      <c r="A60" s="50"/>
      <c r="B60" s="50"/>
      <c r="C60" s="50"/>
      <c r="D60" s="50"/>
      <c r="E60" s="5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ht="15.75" customHeight="1">
      <c r="A61" s="50"/>
      <c r="B61" s="50"/>
      <c r="C61" s="50"/>
      <c r="D61" s="50"/>
      <c r="E61" s="5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15.75" customHeight="1">
      <c r="A62" s="50"/>
      <c r="B62" s="50"/>
      <c r="C62" s="50"/>
      <c r="D62" s="50"/>
      <c r="E62" s="5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ht="15.75" customHeight="1">
      <c r="A63" s="50"/>
      <c r="B63" s="50"/>
      <c r="C63" s="50"/>
      <c r="D63" s="50"/>
      <c r="E63" s="5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15.75" customHeight="1">
      <c r="A64" s="50"/>
      <c r="B64" s="50"/>
      <c r="C64" s="50"/>
      <c r="D64" s="50"/>
      <c r="E64" s="5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ht="15.75" customHeight="1">
      <c r="A65" s="50"/>
      <c r="B65" s="50"/>
      <c r="C65" s="50"/>
      <c r="D65" s="50"/>
      <c r="E65" s="5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ht="15.75" customHeight="1">
      <c r="A66" s="50"/>
      <c r="B66" s="50"/>
      <c r="C66" s="50"/>
      <c r="D66" s="50"/>
      <c r="E66" s="5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15.75" customHeight="1">
      <c r="A67" s="50"/>
      <c r="B67" s="50"/>
      <c r="C67" s="50"/>
      <c r="D67" s="50"/>
      <c r="E67" s="5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15.75" customHeight="1">
      <c r="A68" s="50"/>
      <c r="B68" s="50"/>
      <c r="C68" s="50"/>
      <c r="D68" s="50"/>
      <c r="E68" s="5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15.75" customHeight="1">
      <c r="A69" s="50"/>
      <c r="B69" s="50"/>
      <c r="C69" s="50"/>
      <c r="D69" s="50"/>
      <c r="E69" s="5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15.75" customHeight="1">
      <c r="A70" s="50"/>
      <c r="B70" s="50"/>
      <c r="C70" s="50"/>
      <c r="D70" s="50"/>
      <c r="E70" s="5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15.75" customHeight="1">
      <c r="A71" s="50"/>
      <c r="B71" s="50"/>
      <c r="C71" s="50"/>
      <c r="D71" s="50"/>
      <c r="E71" s="5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ht="15.75" customHeight="1">
      <c r="A72" s="50"/>
      <c r="B72" s="50"/>
      <c r="C72" s="50"/>
      <c r="D72" s="50"/>
      <c r="E72" s="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ht="15.75" customHeight="1">
      <c r="A73" s="50"/>
      <c r="B73" s="50"/>
      <c r="C73" s="50"/>
      <c r="D73" s="50"/>
      <c r="E73" s="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ht="15.75" customHeight="1">
      <c r="A74" s="50"/>
      <c r="B74" s="50"/>
      <c r="C74" s="50"/>
      <c r="D74" s="50"/>
      <c r="E74" s="5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ht="15.75" customHeight="1">
      <c r="A75" s="50"/>
      <c r="B75" s="50"/>
      <c r="C75" s="50"/>
      <c r="D75" s="50"/>
      <c r="E75" s="5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ht="15.75" customHeight="1">
      <c r="A76" s="50"/>
      <c r="B76" s="50"/>
      <c r="C76" s="50"/>
      <c r="D76" s="50"/>
      <c r="E76" s="5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ht="15.75" customHeight="1">
      <c r="A77" s="50"/>
      <c r="B77" s="50"/>
      <c r="C77" s="50"/>
      <c r="D77" s="50"/>
      <c r="E77" s="5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ht="15.75" customHeight="1">
      <c r="A78" s="50"/>
      <c r="B78" s="50"/>
      <c r="C78" s="50"/>
      <c r="D78" s="50"/>
      <c r="E78" s="5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ht="15.75" customHeight="1">
      <c r="A79" s="50"/>
      <c r="B79" s="50"/>
      <c r="C79" s="50"/>
      <c r="D79" s="50"/>
      <c r="E79" s="5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ht="15.75" customHeight="1">
      <c r="A80" s="50"/>
      <c r="B80" s="50"/>
      <c r="C80" s="50"/>
      <c r="D80" s="50"/>
      <c r="E80" s="5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ht="15.75" customHeight="1">
      <c r="A81" s="50"/>
      <c r="B81" s="50"/>
      <c r="C81" s="50"/>
      <c r="D81" s="50"/>
      <c r="E81" s="5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ht="15.75" customHeight="1">
      <c r="A82" s="50"/>
      <c r="B82" s="50"/>
      <c r="C82" s="50"/>
      <c r="D82" s="50"/>
      <c r="E82" s="5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ht="15.75" customHeight="1">
      <c r="A83" s="50"/>
      <c r="B83" s="50"/>
      <c r="C83" s="50"/>
      <c r="D83" s="50"/>
      <c r="E83" s="5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ht="15.75" customHeight="1">
      <c r="A84" s="50"/>
      <c r="B84" s="50"/>
      <c r="C84" s="50"/>
      <c r="D84" s="50"/>
      <c r="E84" s="5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ht="15.75" customHeight="1">
      <c r="A85" s="50"/>
      <c r="B85" s="50"/>
      <c r="C85" s="50"/>
      <c r="D85" s="50"/>
      <c r="E85" s="5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ht="15.75" customHeight="1">
      <c r="A86" s="50"/>
      <c r="B86" s="50"/>
      <c r="C86" s="50"/>
      <c r="D86" s="50"/>
      <c r="E86" s="5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ht="15.75" customHeight="1">
      <c r="A87" s="50"/>
      <c r="B87" s="50"/>
      <c r="C87" s="50"/>
      <c r="D87" s="50"/>
      <c r="E87" s="5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ht="15.75" customHeight="1">
      <c r="A88" s="50"/>
      <c r="B88" s="50"/>
      <c r="C88" s="50"/>
      <c r="D88" s="50"/>
      <c r="E88" s="5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ht="15.75" customHeight="1">
      <c r="A89" s="50"/>
      <c r="B89" s="50"/>
      <c r="C89" s="50"/>
      <c r="D89" s="50"/>
      <c r="E89" s="5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ht="15.75" customHeight="1">
      <c r="A90" s="50"/>
      <c r="B90" s="50"/>
      <c r="C90" s="50"/>
      <c r="D90" s="50"/>
      <c r="E90" s="5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ht="15.75" customHeight="1">
      <c r="A91" s="50"/>
      <c r="B91" s="50"/>
      <c r="C91" s="50"/>
      <c r="D91" s="50"/>
      <c r="E91" s="5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ht="15.75" customHeight="1">
      <c r="A92" s="50"/>
      <c r="B92" s="50"/>
      <c r="C92" s="50"/>
      <c r="D92" s="50"/>
      <c r="E92" s="5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ht="15.75" customHeight="1">
      <c r="A93" s="50"/>
      <c r="B93" s="50"/>
      <c r="C93" s="50"/>
      <c r="D93" s="50"/>
      <c r="E93" s="5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ht="15.75" customHeight="1">
      <c r="A94" s="50"/>
      <c r="B94" s="50"/>
      <c r="C94" s="50"/>
      <c r="D94" s="50"/>
      <c r="E94" s="5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ht="15.75" customHeight="1">
      <c r="A95" s="50"/>
      <c r="B95" s="50"/>
      <c r="C95" s="50"/>
      <c r="D95" s="50"/>
      <c r="E95" s="5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ht="15.75" customHeight="1">
      <c r="A96" s="50"/>
      <c r="B96" s="50"/>
      <c r="C96" s="50"/>
      <c r="D96" s="50"/>
      <c r="E96" s="5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ht="15.75" customHeight="1">
      <c r="A97" s="50"/>
      <c r="B97" s="50"/>
      <c r="C97" s="50"/>
      <c r="D97" s="50"/>
      <c r="E97" s="5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ht="15.75" customHeight="1">
      <c r="A98" s="50"/>
      <c r="B98" s="50"/>
      <c r="C98" s="50"/>
      <c r="D98" s="50"/>
      <c r="E98" s="5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ht="15.75" customHeight="1">
      <c r="A99" s="50"/>
      <c r="B99" s="50"/>
      <c r="C99" s="50"/>
      <c r="D99" s="50"/>
      <c r="E99" s="5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ht="15.75" customHeight="1">
      <c r="A100" s="50"/>
      <c r="B100" s="50"/>
      <c r="C100" s="50"/>
      <c r="D100" s="50"/>
      <c r="E100" s="5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ht="15.75" customHeight="1">
      <c r="A101" s="50"/>
      <c r="B101" s="50"/>
      <c r="C101" s="50"/>
      <c r="D101" s="50"/>
      <c r="E101" s="5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ht="15.75" customHeight="1">
      <c r="A102" s="50"/>
      <c r="B102" s="50"/>
      <c r="C102" s="50"/>
      <c r="D102" s="50"/>
      <c r="E102" s="5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ht="15.75" customHeight="1">
      <c r="A103" s="50"/>
      <c r="B103" s="50"/>
      <c r="C103" s="50"/>
      <c r="D103" s="50"/>
      <c r="E103" s="5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ht="15.75" customHeight="1">
      <c r="A104" s="50"/>
      <c r="B104" s="50"/>
      <c r="C104" s="50"/>
      <c r="D104" s="50"/>
      <c r="E104" s="5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ht="15.75" customHeight="1">
      <c r="A105" s="50"/>
      <c r="B105" s="50"/>
      <c r="C105" s="50"/>
      <c r="D105" s="50"/>
      <c r="E105" s="5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ht="15.75" customHeight="1">
      <c r="A106" s="50"/>
      <c r="B106" s="50"/>
      <c r="C106" s="50"/>
      <c r="D106" s="50"/>
      <c r="E106" s="5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ht="15.75" customHeight="1">
      <c r="A107" s="50"/>
      <c r="B107" s="50"/>
      <c r="C107" s="50"/>
      <c r="D107" s="50"/>
      <c r="E107" s="5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ht="15.75" customHeight="1">
      <c r="A108" s="50"/>
      <c r="B108" s="50"/>
      <c r="C108" s="50"/>
      <c r="D108" s="50"/>
      <c r="E108" s="5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ht="15.75" customHeight="1">
      <c r="A109" s="50"/>
      <c r="B109" s="50"/>
      <c r="C109" s="50"/>
      <c r="D109" s="50"/>
      <c r="E109" s="5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ht="15.75" customHeight="1">
      <c r="A110" s="50"/>
      <c r="B110" s="50"/>
      <c r="C110" s="50"/>
      <c r="D110" s="50"/>
      <c r="E110" s="5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ht="15.75" customHeight="1">
      <c r="A111" s="50"/>
      <c r="B111" s="50"/>
      <c r="C111" s="50"/>
      <c r="D111" s="50"/>
      <c r="E111" s="5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ht="15.75" customHeight="1">
      <c r="A112" s="50"/>
      <c r="B112" s="50"/>
      <c r="C112" s="50"/>
      <c r="D112" s="50"/>
      <c r="E112" s="5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ht="15.75" customHeight="1">
      <c r="A113" s="50"/>
      <c r="B113" s="50"/>
      <c r="C113" s="50"/>
      <c r="D113" s="50"/>
      <c r="E113" s="5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ht="15.75" customHeight="1">
      <c r="A114" s="50"/>
      <c r="B114" s="50"/>
      <c r="C114" s="50"/>
      <c r="D114" s="50"/>
      <c r="E114" s="5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ht="15.75" customHeight="1">
      <c r="A115" s="50"/>
      <c r="B115" s="50"/>
      <c r="C115" s="50"/>
      <c r="D115" s="50"/>
      <c r="E115" s="5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ht="15.75" customHeight="1">
      <c r="A116" s="50"/>
      <c r="B116" s="50"/>
      <c r="C116" s="50"/>
      <c r="D116" s="50"/>
      <c r="E116" s="5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ht="15.75" customHeight="1">
      <c r="A117" s="50"/>
      <c r="B117" s="50"/>
      <c r="C117" s="50"/>
      <c r="D117" s="50"/>
      <c r="E117" s="5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ht="15.75" customHeight="1">
      <c r="A118" s="50"/>
      <c r="B118" s="50"/>
      <c r="C118" s="50"/>
      <c r="D118" s="50"/>
      <c r="E118" s="5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ht="15.75" customHeight="1">
      <c r="A119" s="50"/>
      <c r="B119" s="50"/>
      <c r="C119" s="50"/>
      <c r="D119" s="50"/>
      <c r="E119" s="5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ht="15.75" customHeight="1">
      <c r="A120" s="50"/>
      <c r="B120" s="50"/>
      <c r="C120" s="50"/>
      <c r="D120" s="50"/>
      <c r="E120" s="5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ht="15.75" customHeight="1">
      <c r="A121" s="50"/>
      <c r="B121" s="50"/>
      <c r="C121" s="50"/>
      <c r="D121" s="50"/>
      <c r="E121" s="5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ht="15.75" customHeight="1">
      <c r="A122" s="50"/>
      <c r="B122" s="50"/>
      <c r="C122" s="50"/>
      <c r="D122" s="50"/>
      <c r="E122" s="5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ht="15.75" customHeight="1">
      <c r="A123" s="50"/>
      <c r="B123" s="50"/>
      <c r="C123" s="50"/>
      <c r="D123" s="50"/>
      <c r="E123" s="5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ht="15.75" customHeight="1">
      <c r="A124" s="50"/>
      <c r="B124" s="50"/>
      <c r="C124" s="50"/>
      <c r="D124" s="50"/>
      <c r="E124" s="5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ht="15.75" customHeight="1">
      <c r="A125" s="50"/>
      <c r="B125" s="50"/>
      <c r="C125" s="50"/>
      <c r="D125" s="50"/>
      <c r="E125" s="5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ht="15.75" customHeight="1">
      <c r="A126" s="50"/>
      <c r="B126" s="50"/>
      <c r="C126" s="50"/>
      <c r="D126" s="50"/>
      <c r="E126" s="5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ht="15.75" customHeight="1">
      <c r="A127" s="50"/>
      <c r="B127" s="50"/>
      <c r="C127" s="50"/>
      <c r="D127" s="50"/>
      <c r="E127" s="5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ht="15.75" customHeight="1">
      <c r="A128" s="50"/>
      <c r="B128" s="50"/>
      <c r="C128" s="50"/>
      <c r="D128" s="50"/>
      <c r="E128" s="5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ht="15.75" customHeight="1">
      <c r="A129" s="50"/>
      <c r="B129" s="50"/>
      <c r="C129" s="50"/>
      <c r="D129" s="50"/>
      <c r="E129" s="5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ht="15.75" customHeight="1">
      <c r="A130" s="50"/>
      <c r="B130" s="50"/>
      <c r="C130" s="50"/>
      <c r="D130" s="50"/>
      <c r="E130" s="5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ht="15.75" customHeight="1">
      <c r="A131" s="50"/>
      <c r="B131" s="50"/>
      <c r="C131" s="50"/>
      <c r="D131" s="50"/>
      <c r="E131" s="5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ht="15.75" customHeight="1">
      <c r="A132" s="50"/>
      <c r="B132" s="50"/>
      <c r="C132" s="50"/>
      <c r="D132" s="50"/>
      <c r="E132" s="5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ht="15.75" customHeight="1">
      <c r="A133" s="50"/>
      <c r="B133" s="50"/>
      <c r="C133" s="50"/>
      <c r="D133" s="50"/>
      <c r="E133" s="5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ht="15.75" customHeight="1">
      <c r="A134" s="50"/>
      <c r="B134" s="50"/>
      <c r="C134" s="50"/>
      <c r="D134" s="50"/>
      <c r="E134" s="5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ht="15.75" customHeight="1">
      <c r="A135" s="50"/>
      <c r="B135" s="50"/>
      <c r="C135" s="50"/>
      <c r="D135" s="50"/>
      <c r="E135" s="5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ht="15.75" customHeight="1">
      <c r="A136" s="50"/>
      <c r="B136" s="50"/>
      <c r="C136" s="50"/>
      <c r="D136" s="50"/>
      <c r="E136" s="5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ht="15.75" customHeight="1">
      <c r="A137" s="50"/>
      <c r="B137" s="50"/>
      <c r="C137" s="50"/>
      <c r="D137" s="50"/>
      <c r="E137" s="5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ht="15.75" customHeight="1">
      <c r="A138" s="50"/>
      <c r="B138" s="50"/>
      <c r="C138" s="50"/>
      <c r="D138" s="50"/>
      <c r="E138" s="5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ht="15.75" customHeight="1">
      <c r="A139" s="50"/>
      <c r="B139" s="50"/>
      <c r="C139" s="50"/>
      <c r="D139" s="50"/>
      <c r="E139" s="5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ht="15.75" customHeight="1">
      <c r="A140" s="50"/>
      <c r="B140" s="50"/>
      <c r="C140" s="50"/>
      <c r="D140" s="50"/>
      <c r="E140" s="5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ht="15.75" customHeight="1">
      <c r="A141" s="50"/>
      <c r="B141" s="50"/>
      <c r="C141" s="50"/>
      <c r="D141" s="50"/>
      <c r="E141" s="5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ht="15.75" customHeight="1">
      <c r="A142" s="50"/>
      <c r="B142" s="50"/>
      <c r="C142" s="50"/>
      <c r="D142" s="50"/>
      <c r="E142" s="5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ht="15.75" customHeight="1">
      <c r="A143" s="50"/>
      <c r="B143" s="50"/>
      <c r="C143" s="50"/>
      <c r="D143" s="50"/>
      <c r="E143" s="5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ht="15.75" customHeight="1">
      <c r="A144" s="50"/>
      <c r="B144" s="50"/>
      <c r="C144" s="50"/>
      <c r="D144" s="50"/>
      <c r="E144" s="5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ht="15.75" customHeight="1">
      <c r="A145" s="50"/>
      <c r="B145" s="50"/>
      <c r="C145" s="50"/>
      <c r="D145" s="50"/>
      <c r="E145" s="5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ht="15.75" customHeight="1">
      <c r="A146" s="50"/>
      <c r="B146" s="50"/>
      <c r="C146" s="50"/>
      <c r="D146" s="50"/>
      <c r="E146" s="5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ht="15.75" customHeight="1">
      <c r="A147" s="50"/>
      <c r="B147" s="50"/>
      <c r="C147" s="50"/>
      <c r="D147" s="50"/>
      <c r="E147" s="5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ht="15.75" customHeight="1">
      <c r="A148" s="50"/>
      <c r="B148" s="50"/>
      <c r="C148" s="50"/>
      <c r="D148" s="50"/>
      <c r="E148" s="5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ht="15.75" customHeight="1">
      <c r="A149" s="50"/>
      <c r="B149" s="50"/>
      <c r="C149" s="50"/>
      <c r="D149" s="50"/>
      <c r="E149" s="5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ht="15.75" customHeight="1">
      <c r="A150" s="50"/>
      <c r="B150" s="50"/>
      <c r="C150" s="50"/>
      <c r="D150" s="50"/>
      <c r="E150" s="5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ht="15.75" customHeight="1">
      <c r="A151" s="50"/>
      <c r="B151" s="50"/>
      <c r="C151" s="50"/>
      <c r="D151" s="50"/>
      <c r="E151" s="5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ht="15.75" customHeight="1">
      <c r="A152" s="50"/>
      <c r="B152" s="50"/>
      <c r="C152" s="50"/>
      <c r="D152" s="50"/>
      <c r="E152" s="5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ht="15.75" customHeight="1">
      <c r="A153" s="50"/>
      <c r="B153" s="50"/>
      <c r="C153" s="50"/>
      <c r="D153" s="50"/>
      <c r="E153" s="5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ht="15.75" customHeight="1">
      <c r="A154" s="50"/>
      <c r="B154" s="50"/>
      <c r="C154" s="50"/>
      <c r="D154" s="50"/>
      <c r="E154" s="5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ht="15.75" customHeight="1">
      <c r="A155" s="50"/>
      <c r="B155" s="50"/>
      <c r="C155" s="50"/>
      <c r="D155" s="50"/>
      <c r="E155" s="5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1:36" ht="15.75" customHeight="1">
      <c r="A156" s="50"/>
      <c r="B156" s="50"/>
      <c r="C156" s="50"/>
      <c r="D156" s="50"/>
      <c r="E156" s="5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1:36" ht="15.75" customHeight="1">
      <c r="A157" s="50"/>
      <c r="B157" s="50"/>
      <c r="C157" s="50"/>
      <c r="D157" s="50"/>
      <c r="E157" s="5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spans="1:36" ht="15.75" customHeight="1">
      <c r="A158" s="50"/>
      <c r="B158" s="50"/>
      <c r="C158" s="50"/>
      <c r="D158" s="50"/>
      <c r="E158" s="5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1:36" ht="15.75" customHeight="1">
      <c r="A159" s="50"/>
      <c r="B159" s="50"/>
      <c r="C159" s="50"/>
      <c r="D159" s="50"/>
      <c r="E159" s="5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spans="1:36" ht="15.75" customHeight="1">
      <c r="A160" s="50"/>
      <c r="B160" s="50"/>
      <c r="C160" s="50"/>
      <c r="D160" s="50"/>
      <c r="E160" s="5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1:36" ht="15.75" customHeight="1">
      <c r="A161" s="50"/>
      <c r="B161" s="50"/>
      <c r="C161" s="50"/>
      <c r="D161" s="50"/>
      <c r="E161" s="5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spans="1:36" ht="15.75" customHeight="1">
      <c r="A162" s="50"/>
      <c r="B162" s="50"/>
      <c r="C162" s="50"/>
      <c r="D162" s="50"/>
      <c r="E162" s="5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1:36" ht="15.75" customHeight="1">
      <c r="A163" s="50"/>
      <c r="B163" s="50"/>
      <c r="C163" s="50"/>
      <c r="D163" s="50"/>
      <c r="E163" s="5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spans="1:36" ht="15.75" customHeight="1">
      <c r="A164" s="50"/>
      <c r="B164" s="50"/>
      <c r="C164" s="50"/>
      <c r="D164" s="50"/>
      <c r="E164" s="5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1:36" ht="15.75" customHeight="1">
      <c r="A165" s="50"/>
      <c r="B165" s="50"/>
      <c r="C165" s="50"/>
      <c r="D165" s="50"/>
      <c r="E165" s="5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spans="1:36" ht="15.75" customHeight="1">
      <c r="A166" s="50"/>
      <c r="B166" s="50"/>
      <c r="C166" s="50"/>
      <c r="D166" s="50"/>
      <c r="E166" s="5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1:36" ht="15.75" customHeight="1">
      <c r="A167" s="50"/>
      <c r="B167" s="50"/>
      <c r="C167" s="50"/>
      <c r="D167" s="50"/>
      <c r="E167" s="5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spans="1:36" ht="15.75" customHeight="1">
      <c r="A168" s="50"/>
      <c r="B168" s="50"/>
      <c r="C168" s="50"/>
      <c r="D168" s="50"/>
      <c r="E168" s="5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1:36" ht="15.75" customHeight="1">
      <c r="A169" s="50"/>
      <c r="B169" s="50"/>
      <c r="C169" s="50"/>
      <c r="D169" s="50"/>
      <c r="E169" s="5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spans="1:36" ht="15.75" customHeight="1">
      <c r="A170" s="50"/>
      <c r="B170" s="50"/>
      <c r="C170" s="50"/>
      <c r="D170" s="50"/>
      <c r="E170" s="5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1:36" ht="15.75" customHeight="1">
      <c r="A171" s="50"/>
      <c r="B171" s="50"/>
      <c r="C171" s="50"/>
      <c r="D171" s="50"/>
      <c r="E171" s="5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spans="1:36" ht="15.75" customHeight="1">
      <c r="A172" s="50"/>
      <c r="B172" s="50"/>
      <c r="C172" s="50"/>
      <c r="D172" s="50"/>
      <c r="E172" s="5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1:36" ht="15.75" customHeight="1">
      <c r="A173" s="50"/>
      <c r="B173" s="50"/>
      <c r="C173" s="50"/>
      <c r="D173" s="50"/>
      <c r="E173" s="5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spans="1:36" ht="15.75" customHeight="1">
      <c r="A174" s="50"/>
      <c r="B174" s="50"/>
      <c r="C174" s="50"/>
      <c r="D174" s="50"/>
      <c r="E174" s="5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1:36" ht="15.75" customHeight="1">
      <c r="A175" s="50"/>
      <c r="B175" s="50"/>
      <c r="C175" s="50"/>
      <c r="D175" s="50"/>
      <c r="E175" s="5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spans="1:36" ht="15.75" customHeight="1">
      <c r="A176" s="50"/>
      <c r="B176" s="50"/>
      <c r="C176" s="50"/>
      <c r="D176" s="50"/>
      <c r="E176" s="5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1:36" ht="15.75" customHeight="1">
      <c r="A177" s="50"/>
      <c r="B177" s="50"/>
      <c r="C177" s="50"/>
      <c r="D177" s="50"/>
      <c r="E177" s="5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spans="1:36" ht="15.75" customHeight="1">
      <c r="A178" s="50"/>
      <c r="B178" s="50"/>
      <c r="C178" s="50"/>
      <c r="D178" s="50"/>
      <c r="E178" s="5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1:36" ht="15.75" customHeight="1">
      <c r="A179" s="50"/>
      <c r="B179" s="50"/>
      <c r="C179" s="50"/>
      <c r="D179" s="50"/>
      <c r="E179" s="5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1:36" ht="15.75" customHeight="1">
      <c r="A180" s="50"/>
      <c r="B180" s="50"/>
      <c r="C180" s="50"/>
      <c r="D180" s="50"/>
      <c r="E180" s="5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1:36" ht="15.75" customHeight="1">
      <c r="A181" s="50"/>
      <c r="B181" s="50"/>
      <c r="C181" s="50"/>
      <c r="D181" s="50"/>
      <c r="E181" s="5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spans="1:36" ht="15.75" customHeight="1">
      <c r="A182" s="50"/>
      <c r="B182" s="50"/>
      <c r="C182" s="50"/>
      <c r="D182" s="50"/>
      <c r="E182" s="5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1:36" ht="15.75" customHeight="1">
      <c r="A183" s="50"/>
      <c r="B183" s="50"/>
      <c r="C183" s="50"/>
      <c r="D183" s="50"/>
      <c r="E183" s="5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1:36" ht="15.75" customHeight="1">
      <c r="A184" s="50"/>
      <c r="B184" s="50"/>
      <c r="C184" s="50"/>
      <c r="D184" s="50"/>
      <c r="E184" s="5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1:36" ht="15.75" customHeight="1">
      <c r="A185" s="50"/>
      <c r="B185" s="50"/>
      <c r="C185" s="50"/>
      <c r="D185" s="50"/>
      <c r="E185" s="5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1:36" ht="15.75" customHeight="1">
      <c r="A186" s="50"/>
      <c r="B186" s="50"/>
      <c r="C186" s="50"/>
      <c r="D186" s="50"/>
      <c r="E186" s="5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1:36" ht="15.75" customHeight="1">
      <c r="A187" s="50"/>
      <c r="B187" s="50"/>
      <c r="C187" s="50"/>
      <c r="D187" s="50"/>
      <c r="E187" s="5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1:36" ht="15.75" customHeight="1">
      <c r="A188" s="50"/>
      <c r="B188" s="50"/>
      <c r="C188" s="50"/>
      <c r="D188" s="50"/>
      <c r="E188" s="5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1:36" ht="15.75" customHeight="1">
      <c r="A189" s="50"/>
      <c r="B189" s="50"/>
      <c r="C189" s="50"/>
      <c r="D189" s="50"/>
      <c r="E189" s="5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spans="1:36" ht="15.75" customHeight="1">
      <c r="A190" s="50"/>
      <c r="B190" s="50"/>
      <c r="C190" s="50"/>
      <c r="D190" s="50"/>
      <c r="E190" s="5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1:36" ht="15.75" customHeight="1">
      <c r="A191" s="50"/>
      <c r="B191" s="50"/>
      <c r="C191" s="50"/>
      <c r="D191" s="50"/>
      <c r="E191" s="5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spans="1:36" ht="15.75" customHeight="1">
      <c r="A192" s="50"/>
      <c r="B192" s="50"/>
      <c r="C192" s="50"/>
      <c r="D192" s="50"/>
      <c r="E192" s="5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1:36" ht="15.75" customHeight="1">
      <c r="A193" s="50"/>
      <c r="B193" s="50"/>
      <c r="C193" s="50"/>
      <c r="D193" s="50"/>
      <c r="E193" s="5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spans="1:36" ht="15.75" customHeight="1">
      <c r="A194" s="50"/>
      <c r="B194" s="50"/>
      <c r="C194" s="50"/>
      <c r="D194" s="50"/>
      <c r="E194" s="5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1:36" ht="15.75" customHeight="1">
      <c r="A195" s="50"/>
      <c r="B195" s="50"/>
      <c r="C195" s="50"/>
      <c r="D195" s="50"/>
      <c r="E195" s="5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spans="1:36" ht="15.75" customHeight="1">
      <c r="A196" s="50"/>
      <c r="B196" s="50"/>
      <c r="C196" s="50"/>
      <c r="D196" s="50"/>
      <c r="E196" s="5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1:36" ht="15.75" customHeight="1">
      <c r="A197" s="50"/>
      <c r="B197" s="50"/>
      <c r="C197" s="50"/>
      <c r="D197" s="50"/>
      <c r="E197" s="5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spans="1:36" ht="15.75" customHeight="1">
      <c r="A198" s="50"/>
      <c r="B198" s="50"/>
      <c r="C198" s="50"/>
      <c r="D198" s="50"/>
      <c r="E198" s="5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1:36" ht="15.75" customHeight="1">
      <c r="A199" s="50"/>
      <c r="B199" s="50"/>
      <c r="C199" s="50"/>
      <c r="D199" s="50"/>
      <c r="E199" s="5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spans="1:36" ht="15.75" customHeight="1">
      <c r="A200" s="50"/>
      <c r="B200" s="50"/>
      <c r="C200" s="50"/>
      <c r="D200" s="50"/>
      <c r="E200" s="5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1:36" ht="15.75" customHeight="1">
      <c r="A201" s="50"/>
      <c r="B201" s="50"/>
      <c r="C201" s="50"/>
      <c r="D201" s="50"/>
      <c r="E201" s="5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spans="1:36" ht="15.75" customHeight="1">
      <c r="A202" s="50"/>
      <c r="B202" s="50"/>
      <c r="C202" s="50"/>
      <c r="D202" s="50"/>
      <c r="E202" s="5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1:36" ht="15.75" customHeight="1">
      <c r="A203" s="50"/>
      <c r="B203" s="50"/>
      <c r="C203" s="50"/>
      <c r="D203" s="50"/>
      <c r="E203" s="5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spans="1:36" ht="15.75" customHeight="1">
      <c r="A204" s="50"/>
      <c r="B204" s="50"/>
      <c r="C204" s="50"/>
      <c r="D204" s="50"/>
      <c r="E204" s="5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1:36" ht="15.75" customHeight="1">
      <c r="A205" s="50"/>
      <c r="B205" s="50"/>
      <c r="C205" s="50"/>
      <c r="D205" s="50"/>
      <c r="E205" s="5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spans="1:36" ht="15.75" customHeight="1">
      <c r="A206" s="50"/>
      <c r="B206" s="50"/>
      <c r="C206" s="50"/>
      <c r="D206" s="50"/>
      <c r="E206" s="5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spans="1:36" ht="15.75" customHeight="1">
      <c r="A207" s="50"/>
      <c r="B207" s="50"/>
      <c r="C207" s="50"/>
      <c r="D207" s="50"/>
      <c r="E207" s="5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spans="1:36" ht="15.75" customHeight="1">
      <c r="A208" s="50"/>
      <c r="B208" s="50"/>
      <c r="C208" s="50"/>
      <c r="D208" s="50"/>
      <c r="E208" s="5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spans="1:36" ht="15.75" customHeight="1">
      <c r="A209" s="50"/>
      <c r="B209" s="50"/>
      <c r="C209" s="50"/>
      <c r="D209" s="50"/>
      <c r="E209" s="5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spans="1:36" ht="15.75" customHeight="1">
      <c r="A210" s="50"/>
      <c r="B210" s="50"/>
      <c r="C210" s="50"/>
      <c r="D210" s="50"/>
      <c r="E210" s="5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1:36" ht="15.75" customHeight="1">
      <c r="A211" s="50"/>
      <c r="B211" s="50"/>
      <c r="C211" s="50"/>
      <c r="D211" s="50"/>
      <c r="E211" s="5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spans="1:36" ht="15.75" customHeight="1">
      <c r="A212" s="50"/>
      <c r="B212" s="50"/>
      <c r="C212" s="50"/>
      <c r="D212" s="50"/>
      <c r="E212" s="5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1:36" ht="15.75" customHeight="1">
      <c r="A213" s="50"/>
      <c r="B213" s="50"/>
      <c r="C213" s="50"/>
      <c r="D213" s="50"/>
      <c r="E213" s="5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1:36" ht="15.75" customHeight="1">
      <c r="A214" s="50"/>
      <c r="B214" s="50"/>
      <c r="C214" s="50"/>
      <c r="D214" s="50"/>
      <c r="E214" s="5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1:36" ht="15.75" customHeight="1">
      <c r="A215" s="50"/>
      <c r="B215" s="50"/>
      <c r="C215" s="50"/>
      <c r="D215" s="50"/>
      <c r="E215" s="5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spans="1:36" ht="15.75" customHeight="1">
      <c r="A216" s="50"/>
      <c r="B216" s="50"/>
      <c r="C216" s="50"/>
      <c r="D216" s="50"/>
      <c r="E216" s="5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1:36" ht="15.75" customHeight="1">
      <c r="A217" s="50"/>
      <c r="B217" s="50"/>
      <c r="C217" s="50"/>
      <c r="D217" s="50"/>
      <c r="E217" s="5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1:36" ht="15.75" customHeight="1">
      <c r="A218" s="50"/>
      <c r="B218" s="50"/>
      <c r="C218" s="50"/>
      <c r="D218" s="50"/>
      <c r="E218" s="5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1:36" ht="15.75" customHeight="1">
      <c r="A219" s="50"/>
      <c r="B219" s="50"/>
      <c r="C219" s="50"/>
      <c r="D219" s="50"/>
      <c r="E219" s="5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1:36" ht="15.75" customHeight="1">
      <c r="A220" s="50"/>
      <c r="B220" s="50"/>
      <c r="C220" s="50"/>
      <c r="D220" s="50"/>
      <c r="E220" s="5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1:36" ht="15.75" customHeight="1">
      <c r="A221" s="50"/>
      <c r="B221" s="50"/>
      <c r="C221" s="50"/>
      <c r="D221" s="50"/>
      <c r="E221" s="5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1:36" ht="15.75" customHeight="1">
      <c r="A222" s="50"/>
      <c r="B222" s="50"/>
      <c r="C222" s="50"/>
      <c r="D222" s="50"/>
      <c r="E222" s="5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1:36" ht="15.75" customHeight="1">
      <c r="A223" s="50"/>
      <c r="B223" s="50"/>
      <c r="C223" s="50"/>
      <c r="D223" s="50"/>
      <c r="E223" s="5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spans="1:36" ht="15.75" customHeight="1">
      <c r="A224" s="50"/>
      <c r="B224" s="50"/>
      <c r="C224" s="50"/>
      <c r="D224" s="50"/>
      <c r="E224" s="5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1:36" ht="15.75" customHeight="1">
      <c r="A225" s="50"/>
      <c r="B225" s="50"/>
      <c r="C225" s="50"/>
      <c r="D225" s="50"/>
      <c r="E225" s="5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1:36" ht="15.75" customHeight="1">
      <c r="A226" s="50"/>
      <c r="B226" s="50"/>
      <c r="C226" s="50"/>
      <c r="D226" s="50"/>
      <c r="E226" s="5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1:36" ht="15.75" customHeight="1">
      <c r="A227" s="50"/>
      <c r="B227" s="50"/>
      <c r="C227" s="50"/>
      <c r="D227" s="50"/>
      <c r="E227" s="5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1:36" ht="15.75" customHeight="1">
      <c r="A228" s="50"/>
      <c r="B228" s="50"/>
      <c r="C228" s="50"/>
      <c r="D228" s="50"/>
      <c r="E228" s="5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1:36" ht="15.75" customHeight="1">
      <c r="A229" s="50"/>
      <c r="B229" s="50"/>
      <c r="C229" s="50"/>
      <c r="D229" s="50"/>
      <c r="E229" s="5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spans="1:36" ht="15.75" customHeight="1">
      <c r="A230" s="50"/>
      <c r="B230" s="50"/>
      <c r="C230" s="50"/>
      <c r="D230" s="50"/>
      <c r="E230" s="5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1:36" ht="15.75" customHeight="1">
      <c r="A231" s="50"/>
      <c r="B231" s="50"/>
      <c r="C231" s="50"/>
      <c r="D231" s="50"/>
      <c r="E231" s="5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spans="1:36" ht="15.75" customHeight="1">
      <c r="A232" s="50"/>
      <c r="B232" s="50"/>
      <c r="C232" s="50"/>
      <c r="D232" s="50"/>
      <c r="E232" s="5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1:36" ht="15.75" customHeight="1">
      <c r="A233" s="50"/>
      <c r="B233" s="50"/>
      <c r="C233" s="50"/>
      <c r="D233" s="50"/>
      <c r="E233" s="5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spans="1:36" ht="15.75" customHeight="1">
      <c r="A234" s="50"/>
      <c r="B234" s="50"/>
      <c r="C234" s="50"/>
      <c r="D234" s="50"/>
      <c r="E234" s="5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1:36" ht="15.75" customHeight="1">
      <c r="A235" s="50"/>
      <c r="B235" s="50"/>
      <c r="C235" s="50"/>
      <c r="D235" s="50"/>
      <c r="E235" s="5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spans="1:36" ht="15.75" customHeight="1">
      <c r="A236" s="50"/>
      <c r="B236" s="50"/>
      <c r="C236" s="50"/>
      <c r="D236" s="50"/>
      <c r="E236" s="5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1:36" ht="15.75" customHeight="1">
      <c r="A237" s="50"/>
      <c r="B237" s="50"/>
      <c r="C237" s="50"/>
      <c r="D237" s="50"/>
      <c r="E237" s="5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spans="1:36" ht="15.75" customHeight="1">
      <c r="A238" s="50"/>
      <c r="B238" s="50"/>
      <c r="C238" s="50"/>
      <c r="D238" s="50"/>
      <c r="E238" s="5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1:36" ht="15.75" customHeight="1">
      <c r="A239" s="50"/>
      <c r="B239" s="50"/>
      <c r="C239" s="50"/>
      <c r="D239" s="50"/>
      <c r="E239" s="5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spans="1:36" ht="15.75" customHeight="1">
      <c r="A240" s="50"/>
      <c r="B240" s="50"/>
      <c r="C240" s="50"/>
      <c r="D240" s="50"/>
      <c r="E240" s="5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1:36" ht="15.75" customHeight="1">
      <c r="A241" s="50"/>
      <c r="B241" s="50"/>
      <c r="C241" s="50"/>
      <c r="D241" s="50"/>
      <c r="E241" s="5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spans="1:36" ht="15.75" customHeight="1">
      <c r="A242" s="50"/>
      <c r="B242" s="50"/>
      <c r="C242" s="50"/>
      <c r="D242" s="50"/>
      <c r="E242" s="5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1:36" ht="15.75" customHeight="1">
      <c r="A243" s="50"/>
      <c r="B243" s="50"/>
      <c r="C243" s="50"/>
      <c r="D243" s="50"/>
      <c r="E243" s="5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1:36" ht="15.75" customHeight="1">
      <c r="A244" s="50"/>
      <c r="B244" s="50"/>
      <c r="C244" s="50"/>
      <c r="D244" s="50"/>
      <c r="E244" s="5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1:36" ht="15.75" customHeight="1"/>
    <row r="246" spans="1:36" ht="15.75" customHeight="1"/>
    <row r="247" spans="1:36" ht="15.75" customHeight="1"/>
    <row r="248" spans="1:36" ht="15.75" customHeight="1"/>
    <row r="249" spans="1:36" ht="15.75" customHeight="1"/>
    <row r="250" spans="1:36" ht="15.75" customHeight="1"/>
    <row r="251" spans="1:36" ht="15.75" customHeight="1"/>
    <row r="252" spans="1:36" ht="15.75" customHeight="1"/>
    <row r="253" spans="1:36" ht="15.75" customHeight="1"/>
    <row r="254" spans="1:36" ht="15.75" customHeight="1"/>
    <row r="255" spans="1:36" ht="15.75" customHeight="1"/>
    <row r="256" spans="1:3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511811024" right="0.511811024" top="0.78740157499999996" bottom="0.78740157499999996" header="0" footer="0"/>
  <pageSetup orientation="landscape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0000"/>
    <outlinePr summaryBelow="0" summaryRight="0"/>
  </sheetPr>
  <dimension ref="A1:Z1002"/>
  <sheetViews>
    <sheetView tabSelected="1" workbookViewId="0">
      <selection activeCell="A27" sqref="A27:XFD27"/>
    </sheetView>
  </sheetViews>
  <sheetFormatPr defaultColWidth="14.453125" defaultRowHeight="15" customHeight="1"/>
  <cols>
    <col min="1" max="1" width="3.7265625" customWidth="1"/>
    <col min="2" max="2" width="66.54296875" customWidth="1"/>
    <col min="3" max="3" width="41.54296875" customWidth="1"/>
    <col min="4" max="4" width="42.26953125" customWidth="1"/>
    <col min="5" max="5" width="13.26953125" customWidth="1"/>
    <col min="6" max="6" width="51.7265625" customWidth="1"/>
  </cols>
  <sheetData>
    <row r="1" spans="1:26" ht="15.5">
      <c r="A1" s="1" t="s">
        <v>0</v>
      </c>
      <c r="B1" s="1" t="s">
        <v>1</v>
      </c>
      <c r="C1" s="2" t="s">
        <v>2</v>
      </c>
      <c r="D1" s="1" t="s">
        <v>27</v>
      </c>
      <c r="E1" s="149"/>
      <c r="F1" s="1" t="s">
        <v>41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5">
      <c r="A2" s="8">
        <v>1</v>
      </c>
      <c r="B2" s="9" t="s">
        <v>1109</v>
      </c>
      <c r="C2" s="31" t="s">
        <v>1110</v>
      </c>
      <c r="D2" s="446"/>
      <c r="E2" s="7" t="s">
        <v>30</v>
      </c>
      <c r="F2" s="22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5">
      <c r="A3" s="10">
        <v>2</v>
      </c>
      <c r="B3" s="447" t="s">
        <v>1111</v>
      </c>
      <c r="C3" s="447" t="s">
        <v>1112</v>
      </c>
      <c r="D3" s="7"/>
      <c r="E3" s="7" t="s">
        <v>30</v>
      </c>
      <c r="F3" s="22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5">
      <c r="A4" s="448">
        <v>3</v>
      </c>
      <c r="B4" s="449" t="s">
        <v>1113</v>
      </c>
      <c r="C4" s="449" t="s">
        <v>1114</v>
      </c>
      <c r="D4" s="450"/>
      <c r="E4" s="450" t="s">
        <v>78</v>
      </c>
      <c r="F4" s="451"/>
      <c r="G4" s="452"/>
      <c r="H4" s="452"/>
      <c r="I4" s="452"/>
      <c r="J4" s="452"/>
      <c r="K4" s="452"/>
      <c r="L4" s="452"/>
      <c r="M4" s="452"/>
      <c r="N4" s="452"/>
      <c r="O4" s="452"/>
      <c r="P4" s="452"/>
      <c r="Q4" s="452"/>
      <c r="R4" s="452"/>
      <c r="S4" s="452"/>
      <c r="T4" s="452"/>
      <c r="U4" s="452"/>
      <c r="V4" s="452"/>
      <c r="W4" s="452"/>
      <c r="X4" s="452"/>
      <c r="Y4" s="452"/>
      <c r="Z4" s="452"/>
    </row>
    <row r="5" spans="1:26" ht="15.75" customHeight="1">
      <c r="A5" s="448">
        <v>4</v>
      </c>
      <c r="B5" s="453" t="s">
        <v>1115</v>
      </c>
      <c r="C5" s="453">
        <v>83987956009</v>
      </c>
      <c r="D5" s="454"/>
      <c r="E5" s="450" t="s">
        <v>78</v>
      </c>
      <c r="F5" s="451"/>
      <c r="G5" s="452"/>
      <c r="H5" s="452"/>
      <c r="I5" s="452"/>
      <c r="J5" s="452"/>
      <c r="K5" s="452"/>
      <c r="L5" s="452"/>
      <c r="M5" s="452"/>
      <c r="N5" s="452"/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2"/>
      <c r="Z5" s="452"/>
    </row>
    <row r="6" spans="1:26" ht="15.5">
      <c r="A6" s="455">
        <v>6</v>
      </c>
      <c r="B6" s="449" t="s">
        <v>1116</v>
      </c>
      <c r="C6" s="449" t="s">
        <v>1117</v>
      </c>
      <c r="D6" s="450"/>
      <c r="E6" s="450" t="s">
        <v>78</v>
      </c>
      <c r="F6" s="451"/>
      <c r="G6" s="452"/>
      <c r="H6" s="452"/>
      <c r="I6" s="452"/>
      <c r="J6" s="452"/>
      <c r="K6" s="452"/>
      <c r="L6" s="452"/>
      <c r="M6" s="452"/>
      <c r="N6" s="452"/>
      <c r="O6" s="452"/>
      <c r="P6" s="452"/>
      <c r="Q6" s="452"/>
      <c r="R6" s="452"/>
      <c r="S6" s="452"/>
      <c r="T6" s="452"/>
      <c r="U6" s="452"/>
      <c r="V6" s="452"/>
      <c r="W6" s="452"/>
      <c r="X6" s="452"/>
      <c r="Y6" s="452"/>
      <c r="Z6" s="452"/>
    </row>
    <row r="7" spans="1:26" ht="15.5">
      <c r="A7" s="167">
        <v>7</v>
      </c>
      <c r="B7" s="110" t="s">
        <v>1118</v>
      </c>
      <c r="C7" s="110" t="s">
        <v>1119</v>
      </c>
      <c r="D7" s="169"/>
      <c r="E7" s="81" t="s">
        <v>17</v>
      </c>
      <c r="F7" s="2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5">
      <c r="A8" s="167">
        <v>8</v>
      </c>
      <c r="B8" s="251" t="s">
        <v>1120</v>
      </c>
      <c r="C8" s="25" t="s">
        <v>1121</v>
      </c>
      <c r="D8" s="86"/>
      <c r="E8" s="87" t="s">
        <v>7</v>
      </c>
      <c r="F8" s="2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5">
      <c r="A9" s="167">
        <v>9</v>
      </c>
      <c r="B9" s="42" t="s">
        <v>1122</v>
      </c>
      <c r="C9" s="42">
        <v>83991395603</v>
      </c>
      <c r="D9" s="87"/>
      <c r="E9" s="87" t="s">
        <v>7</v>
      </c>
      <c r="F9" s="2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5">
      <c r="A10" s="167">
        <v>10</v>
      </c>
      <c r="B10" s="36" t="s">
        <v>1123</v>
      </c>
      <c r="C10" s="42" t="s">
        <v>1124</v>
      </c>
      <c r="D10" s="109"/>
      <c r="E10" s="110" t="s">
        <v>7</v>
      </c>
      <c r="F10" s="2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167">
        <v>11</v>
      </c>
      <c r="B11" s="42" t="s">
        <v>1125</v>
      </c>
      <c r="C11" s="42" t="s">
        <v>1126</v>
      </c>
      <c r="D11" s="109"/>
      <c r="E11" s="110" t="s">
        <v>7</v>
      </c>
      <c r="F11" s="2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5">
      <c r="A12" s="167" t="s">
        <v>7</v>
      </c>
      <c r="B12" s="42" t="s">
        <v>1127</v>
      </c>
      <c r="C12" s="42" t="s">
        <v>1128</v>
      </c>
      <c r="D12" s="25"/>
      <c r="E12" s="42" t="s">
        <v>7</v>
      </c>
      <c r="F12" s="45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5">
      <c r="A13" s="167">
        <v>13</v>
      </c>
      <c r="B13" s="42" t="s">
        <v>1129</v>
      </c>
      <c r="C13" s="81" t="s">
        <v>1130</v>
      </c>
      <c r="D13" s="27"/>
      <c r="E13" s="27" t="s">
        <v>7</v>
      </c>
      <c r="F13" s="2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5">
      <c r="A14" s="167">
        <v>16</v>
      </c>
      <c r="B14" s="36" t="s">
        <v>1131</v>
      </c>
      <c r="C14" s="42" t="s">
        <v>1132</v>
      </c>
      <c r="D14" s="168"/>
      <c r="E14" s="42" t="s">
        <v>7</v>
      </c>
      <c r="F14" s="2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5">
      <c r="A15" s="167">
        <v>17</v>
      </c>
      <c r="B15" s="42" t="s">
        <v>1133</v>
      </c>
      <c r="C15" s="42" t="s">
        <v>1134</v>
      </c>
      <c r="D15" s="383"/>
      <c r="E15" s="384" t="s">
        <v>17</v>
      </c>
      <c r="F15" s="2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5">
      <c r="A16" s="167">
        <v>19</v>
      </c>
      <c r="B16" s="45" t="s">
        <v>1135</v>
      </c>
      <c r="C16" s="45" t="s">
        <v>1136</v>
      </c>
      <c r="D16" s="87"/>
      <c r="E16" s="87" t="s">
        <v>17</v>
      </c>
      <c r="F16" s="2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5">
      <c r="A17" s="167">
        <v>20</v>
      </c>
      <c r="B17" s="45" t="s">
        <v>1137</v>
      </c>
      <c r="C17" s="45" t="s">
        <v>1138</v>
      </c>
      <c r="D17" s="106"/>
      <c r="E17" s="86" t="s">
        <v>7</v>
      </c>
      <c r="F17" s="2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5">
      <c r="A18" s="167">
        <v>21</v>
      </c>
      <c r="B18" s="45" t="s">
        <v>1139</v>
      </c>
      <c r="C18" s="112" t="s">
        <v>1140</v>
      </c>
      <c r="D18" s="427"/>
      <c r="E18" s="81" t="s">
        <v>17</v>
      </c>
      <c r="F18" s="2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5">
      <c r="A19" s="167">
        <v>22</v>
      </c>
      <c r="B19" s="320" t="s">
        <v>1141</v>
      </c>
      <c r="C19" s="45" t="s">
        <v>1142</v>
      </c>
      <c r="D19" s="87"/>
      <c r="E19" s="87" t="s">
        <v>17</v>
      </c>
      <c r="F19" s="9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5">
      <c r="A20" s="167">
        <v>23</v>
      </c>
      <c r="B20" s="45" t="s">
        <v>1143</v>
      </c>
      <c r="C20" s="45" t="s">
        <v>1144</v>
      </c>
      <c r="D20" s="442"/>
      <c r="E20" s="87" t="s">
        <v>7</v>
      </c>
      <c r="F20" s="9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5">
      <c r="A21" s="167">
        <v>25</v>
      </c>
      <c r="B21" s="45" t="s">
        <v>1145</v>
      </c>
      <c r="C21" s="112" t="s">
        <v>1146</v>
      </c>
      <c r="D21" s="42"/>
      <c r="E21" s="42" t="s">
        <v>17</v>
      </c>
      <c r="F21" s="9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5">
      <c r="A22" s="167">
        <v>26</v>
      </c>
      <c r="B22" s="45" t="s">
        <v>1147</v>
      </c>
      <c r="C22" s="45" t="s">
        <v>1148</v>
      </c>
      <c r="D22" s="109"/>
      <c r="E22" s="42" t="s">
        <v>17</v>
      </c>
      <c r="F22" s="9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5">
      <c r="A23" s="167">
        <v>29</v>
      </c>
      <c r="B23" s="45" t="s">
        <v>1149</v>
      </c>
      <c r="C23" s="45" t="s">
        <v>1150</v>
      </c>
      <c r="D23" s="81"/>
      <c r="E23" s="81" t="s">
        <v>17</v>
      </c>
      <c r="F23" s="9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5">
      <c r="A24" s="346">
        <v>30</v>
      </c>
      <c r="B24" s="45" t="s">
        <v>1151</v>
      </c>
      <c r="C24" s="45" t="s">
        <v>1152</v>
      </c>
      <c r="D24" s="87"/>
      <c r="E24" s="87" t="s">
        <v>17</v>
      </c>
      <c r="F24" s="425"/>
      <c r="G24" s="426"/>
      <c r="H24" s="426"/>
      <c r="I24" s="426"/>
      <c r="J24" s="426"/>
      <c r="K24" s="426"/>
      <c r="L24" s="426"/>
      <c r="M24" s="426"/>
      <c r="N24" s="426"/>
      <c r="O24" s="426"/>
      <c r="P24" s="426"/>
      <c r="Q24" s="426"/>
      <c r="R24" s="426"/>
      <c r="S24" s="426"/>
      <c r="T24" s="426"/>
      <c r="U24" s="426"/>
      <c r="V24" s="426"/>
      <c r="W24" s="426"/>
      <c r="X24" s="426"/>
      <c r="Y24" s="426"/>
      <c r="Z24" s="426"/>
    </row>
    <row r="25" spans="1:26" ht="15.75" customHeight="1">
      <c r="A25" s="346">
        <v>33</v>
      </c>
      <c r="B25" s="44" t="s">
        <v>1153</v>
      </c>
      <c r="C25" s="44" t="s">
        <v>1154</v>
      </c>
      <c r="D25" s="34"/>
      <c r="E25" s="251" t="s">
        <v>17</v>
      </c>
      <c r="F25" s="2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224">
        <v>34</v>
      </c>
      <c r="B26" s="45" t="s">
        <v>1155</v>
      </c>
      <c r="C26" s="45" t="s">
        <v>1156</v>
      </c>
      <c r="D26" s="27"/>
      <c r="E26" s="27" t="s">
        <v>7</v>
      </c>
      <c r="F26" s="4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46">
        <v>37</v>
      </c>
      <c r="B27" s="45" t="s">
        <v>1157</v>
      </c>
      <c r="C27" s="45" t="s">
        <v>1158</v>
      </c>
      <c r="D27" s="42"/>
      <c r="E27" s="42" t="s">
        <v>17</v>
      </c>
      <c r="F27" s="4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46">
        <v>38</v>
      </c>
      <c r="B28" s="45" t="s">
        <v>1159</v>
      </c>
      <c r="C28" s="112" t="s">
        <v>1160</v>
      </c>
      <c r="D28" s="42"/>
      <c r="E28" s="42" t="s">
        <v>17</v>
      </c>
      <c r="F28" s="4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46">
        <v>39</v>
      </c>
      <c r="B29" s="45" t="s">
        <v>1161</v>
      </c>
      <c r="C29" s="45" t="s">
        <v>1162</v>
      </c>
      <c r="D29" s="42"/>
      <c r="E29" s="42" t="s">
        <v>17</v>
      </c>
      <c r="F29" s="4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46">
        <v>40</v>
      </c>
      <c r="B30" s="44" t="s">
        <v>1163</v>
      </c>
      <c r="C30" s="45" t="s">
        <v>1164</v>
      </c>
      <c r="D30" s="222"/>
      <c r="E30" s="222" t="s">
        <v>1103</v>
      </c>
      <c r="F30" s="42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>
      <c r="A31" s="26">
        <v>41</v>
      </c>
      <c r="B31" s="45" t="s">
        <v>1165</v>
      </c>
      <c r="C31" s="45" t="s">
        <v>1166</v>
      </c>
      <c r="D31" s="27"/>
      <c r="E31" s="27" t="s">
        <v>7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>
      <c r="A32" s="3"/>
      <c r="B32" s="348"/>
      <c r="C32" s="348"/>
      <c r="D32" s="50"/>
      <c r="E32" s="5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135" t="s">
        <v>1037</v>
      </c>
      <c r="C33" s="11"/>
      <c r="D33" s="50"/>
      <c r="E33" s="5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140" t="s">
        <v>177</v>
      </c>
      <c r="C34" s="11"/>
      <c r="D34" s="140" t="s">
        <v>35</v>
      </c>
      <c r="E34" s="5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50" t="s">
        <v>36</v>
      </c>
      <c r="C35" s="11">
        <v>1</v>
      </c>
      <c r="D35" s="27" t="s">
        <v>36</v>
      </c>
      <c r="E35" s="27">
        <f>COUNTIF(E2:E23, "C")</f>
        <v>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50" t="s">
        <v>37</v>
      </c>
      <c r="C36" s="143"/>
      <c r="D36" s="27" t="s">
        <v>37</v>
      </c>
      <c r="E36" s="27">
        <f>COUNTIF(E2:E31, "H")</f>
        <v>11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customHeight="1">
      <c r="A37" s="3"/>
      <c r="B37" s="50" t="s">
        <v>38</v>
      </c>
      <c r="C37" s="143"/>
      <c r="D37" s="27" t="s">
        <v>38</v>
      </c>
      <c r="E37" s="27">
        <f>COUNTIF(E2:E31, "M")</f>
        <v>13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customHeight="1">
      <c r="A38" s="3"/>
      <c r="B38" s="50" t="s">
        <v>39</v>
      </c>
      <c r="C38" s="143">
        <v>2</v>
      </c>
      <c r="D38" s="27" t="s">
        <v>39</v>
      </c>
      <c r="E38" s="27">
        <f>COUNTIF(E2:E23, "Coord")</f>
        <v>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customHeight="1">
      <c r="A39" s="3"/>
      <c r="B39" s="50" t="s">
        <v>40</v>
      </c>
      <c r="C39" s="143">
        <v>21</v>
      </c>
      <c r="D39" s="27" t="s">
        <v>40</v>
      </c>
      <c r="E39" s="27">
        <f>SUM(E35:E38)</f>
        <v>29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customHeight="1">
      <c r="A40" s="3"/>
      <c r="B40" s="50"/>
      <c r="C40" s="143"/>
      <c r="D40" s="143"/>
      <c r="E40" s="5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50"/>
      <c r="C41" s="143"/>
      <c r="D41" s="143"/>
      <c r="E41" s="5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50"/>
      <c r="C42" s="143"/>
      <c r="D42" s="143"/>
      <c r="E42" s="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50"/>
      <c r="C43" s="143"/>
      <c r="D43" s="143"/>
      <c r="E43" s="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50"/>
      <c r="C44" s="143"/>
      <c r="D44" s="143"/>
      <c r="E44" s="5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50"/>
      <c r="C45" s="143"/>
      <c r="D45" s="143"/>
      <c r="E45" s="5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50"/>
      <c r="C46" s="143"/>
      <c r="D46" s="143"/>
      <c r="E46" s="5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50"/>
      <c r="C47" s="143"/>
      <c r="D47" s="143"/>
      <c r="E47" s="5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50"/>
      <c r="C48" s="143"/>
      <c r="D48" s="143"/>
      <c r="E48" s="5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50"/>
      <c r="B49" s="50"/>
      <c r="C49" s="143"/>
      <c r="D49" s="143"/>
      <c r="E49" s="5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50"/>
      <c r="B50" s="50"/>
      <c r="C50" s="143"/>
      <c r="D50" s="143"/>
      <c r="E50" s="5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50"/>
      <c r="B51" s="50"/>
      <c r="C51" s="143"/>
      <c r="D51" s="143"/>
      <c r="E51" s="5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50"/>
      <c r="B52" s="50"/>
      <c r="C52" s="143"/>
      <c r="D52" s="143"/>
      <c r="E52" s="5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50"/>
      <c r="B53" s="50"/>
      <c r="C53" s="143"/>
      <c r="D53" s="143"/>
      <c r="E53" s="5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50"/>
      <c r="B54" s="50"/>
      <c r="C54" s="143"/>
      <c r="D54" s="143"/>
      <c r="E54" s="5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50"/>
      <c r="B55" s="50"/>
      <c r="C55" s="143"/>
      <c r="D55" s="143"/>
      <c r="E55" s="5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50"/>
      <c r="B56" s="50"/>
      <c r="C56" s="143"/>
      <c r="D56" s="143"/>
      <c r="E56" s="50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50"/>
      <c r="B57" s="50"/>
      <c r="C57" s="143"/>
      <c r="D57" s="143"/>
      <c r="E57" s="5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50"/>
      <c r="B58" s="50"/>
      <c r="C58" s="143"/>
      <c r="D58" s="143"/>
      <c r="E58" s="5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50"/>
      <c r="B59" s="50"/>
      <c r="C59" s="143"/>
      <c r="D59" s="143"/>
      <c r="E59" s="5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50"/>
      <c r="B60" s="50"/>
      <c r="C60" s="143"/>
      <c r="D60" s="143"/>
      <c r="E60" s="5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50"/>
      <c r="B61" s="50"/>
      <c r="C61" s="143"/>
      <c r="D61" s="143"/>
      <c r="E61" s="5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50"/>
      <c r="B62" s="50"/>
      <c r="C62" s="143"/>
      <c r="D62" s="143"/>
      <c r="E62" s="5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50"/>
      <c r="B63" s="50"/>
      <c r="C63" s="143"/>
      <c r="D63" s="143"/>
      <c r="E63" s="5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50"/>
      <c r="B64" s="50"/>
      <c r="C64" s="143"/>
      <c r="D64" s="143"/>
      <c r="E64" s="5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50"/>
      <c r="B65" s="50"/>
      <c r="C65" s="143"/>
      <c r="D65" s="143"/>
      <c r="E65" s="5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50"/>
      <c r="B66" s="50"/>
      <c r="C66" s="143"/>
      <c r="D66" s="143"/>
      <c r="E66" s="5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50"/>
      <c r="B67" s="50"/>
      <c r="C67" s="143"/>
      <c r="D67" s="143"/>
      <c r="E67" s="5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50"/>
      <c r="B68" s="50"/>
      <c r="C68" s="143"/>
      <c r="D68" s="143"/>
      <c r="E68" s="5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50"/>
      <c r="B69" s="50"/>
      <c r="C69" s="143"/>
      <c r="D69" s="143"/>
      <c r="E69" s="5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50"/>
      <c r="B70" s="50"/>
      <c r="C70" s="143"/>
      <c r="D70" s="143"/>
      <c r="E70" s="5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50"/>
      <c r="B71" s="50"/>
      <c r="C71" s="143"/>
      <c r="D71" s="143"/>
      <c r="E71" s="5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50"/>
      <c r="B72" s="50"/>
      <c r="C72" s="143"/>
      <c r="D72" s="143"/>
      <c r="E72" s="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50"/>
      <c r="B73" s="50"/>
      <c r="C73" s="143"/>
      <c r="D73" s="143"/>
      <c r="E73" s="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50"/>
      <c r="B74" s="50"/>
      <c r="C74" s="143"/>
      <c r="D74" s="143"/>
      <c r="E74" s="5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50"/>
      <c r="B75" s="50"/>
      <c r="C75" s="143"/>
      <c r="D75" s="143"/>
      <c r="E75" s="5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50"/>
      <c r="B76" s="50"/>
      <c r="C76" s="143"/>
      <c r="D76" s="143"/>
      <c r="E76" s="5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50"/>
      <c r="B77" s="50"/>
      <c r="C77" s="143"/>
      <c r="D77" s="143"/>
      <c r="E77" s="5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50"/>
      <c r="B78" s="50"/>
      <c r="C78" s="143"/>
      <c r="D78" s="143"/>
      <c r="E78" s="5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50"/>
      <c r="B79" s="50"/>
      <c r="C79" s="143"/>
      <c r="D79" s="143"/>
      <c r="E79" s="5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50"/>
      <c r="B80" s="50"/>
      <c r="C80" s="143"/>
      <c r="D80" s="143"/>
      <c r="E80" s="5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50"/>
      <c r="B81" s="50"/>
      <c r="C81" s="143"/>
      <c r="D81" s="143"/>
      <c r="E81" s="5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50"/>
      <c r="B82" s="50"/>
      <c r="C82" s="143"/>
      <c r="D82" s="143"/>
      <c r="E82" s="5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50"/>
      <c r="B83" s="50"/>
      <c r="C83" s="143"/>
      <c r="D83" s="143"/>
      <c r="E83" s="5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50"/>
      <c r="B84" s="50"/>
      <c r="C84" s="143"/>
      <c r="D84" s="143"/>
      <c r="E84" s="5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50"/>
      <c r="B85" s="50"/>
      <c r="C85" s="143"/>
      <c r="D85" s="143"/>
      <c r="E85" s="5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50"/>
      <c r="B86" s="50"/>
      <c r="C86" s="143"/>
      <c r="D86" s="143"/>
      <c r="E86" s="5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50"/>
      <c r="B87" s="50"/>
      <c r="C87" s="143"/>
      <c r="D87" s="143"/>
      <c r="E87" s="5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50"/>
      <c r="B88" s="50"/>
      <c r="C88" s="143"/>
      <c r="D88" s="143"/>
      <c r="E88" s="5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50"/>
      <c r="B89" s="50"/>
      <c r="C89" s="143"/>
      <c r="D89" s="143"/>
      <c r="E89" s="5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50"/>
      <c r="B90" s="50"/>
      <c r="C90" s="143"/>
      <c r="D90" s="143"/>
      <c r="E90" s="5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50"/>
      <c r="B91" s="50"/>
      <c r="C91" s="143"/>
      <c r="D91" s="143"/>
      <c r="E91" s="5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50"/>
      <c r="B92" s="50"/>
      <c r="C92" s="143"/>
      <c r="D92" s="143"/>
      <c r="E92" s="5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50"/>
      <c r="B93" s="50"/>
      <c r="C93" s="143"/>
      <c r="D93" s="143"/>
      <c r="E93" s="5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50"/>
      <c r="B94" s="50"/>
      <c r="C94" s="143"/>
      <c r="D94" s="143"/>
      <c r="E94" s="5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50"/>
      <c r="B95" s="50"/>
      <c r="C95" s="143"/>
      <c r="D95" s="143"/>
      <c r="E95" s="5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50"/>
      <c r="B96" s="50"/>
      <c r="C96" s="143"/>
      <c r="D96" s="143"/>
      <c r="E96" s="5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50"/>
      <c r="B97" s="50"/>
      <c r="C97" s="143"/>
      <c r="D97" s="143"/>
      <c r="E97" s="5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50"/>
      <c r="B98" s="50"/>
      <c r="C98" s="143"/>
      <c r="D98" s="143"/>
      <c r="E98" s="5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50"/>
      <c r="B99" s="50"/>
      <c r="C99" s="143"/>
      <c r="D99" s="143"/>
      <c r="E99" s="5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50"/>
      <c r="B100" s="50"/>
      <c r="C100" s="143"/>
      <c r="D100" s="143"/>
      <c r="E100" s="5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50"/>
      <c r="B101" s="50"/>
      <c r="C101" s="143"/>
      <c r="D101" s="143"/>
      <c r="E101" s="5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50"/>
      <c r="B102" s="50"/>
      <c r="C102" s="143"/>
      <c r="D102" s="143"/>
      <c r="E102" s="5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50"/>
      <c r="B103" s="50"/>
      <c r="C103" s="143"/>
      <c r="D103" s="143"/>
      <c r="E103" s="5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50"/>
      <c r="B104" s="50"/>
      <c r="C104" s="143"/>
      <c r="D104" s="143"/>
      <c r="E104" s="5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50"/>
      <c r="B105" s="50"/>
      <c r="C105" s="143"/>
      <c r="D105" s="143"/>
      <c r="E105" s="5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50"/>
      <c r="B106" s="50"/>
      <c r="C106" s="143"/>
      <c r="D106" s="143"/>
      <c r="E106" s="5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50"/>
      <c r="B107" s="50"/>
      <c r="C107" s="143"/>
      <c r="D107" s="143"/>
      <c r="E107" s="5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50"/>
      <c r="B108" s="50"/>
      <c r="C108" s="143"/>
      <c r="D108" s="143"/>
      <c r="E108" s="5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50"/>
      <c r="B109" s="50"/>
      <c r="C109" s="143"/>
      <c r="D109" s="143"/>
      <c r="E109" s="5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50"/>
      <c r="B110" s="50"/>
      <c r="C110" s="143"/>
      <c r="D110" s="143"/>
      <c r="E110" s="5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50"/>
      <c r="B111" s="50"/>
      <c r="C111" s="143"/>
      <c r="D111" s="143"/>
      <c r="E111" s="5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50"/>
      <c r="B112" s="50"/>
      <c r="C112" s="143"/>
      <c r="D112" s="143"/>
      <c r="E112" s="5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50"/>
      <c r="B113" s="50"/>
      <c r="C113" s="143"/>
      <c r="D113" s="143"/>
      <c r="E113" s="5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50"/>
      <c r="B114" s="50"/>
      <c r="C114" s="143"/>
      <c r="D114" s="143"/>
      <c r="E114" s="5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50"/>
      <c r="B115" s="50"/>
      <c r="C115" s="143"/>
      <c r="D115" s="143"/>
      <c r="E115" s="5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50"/>
      <c r="B116" s="50"/>
      <c r="C116" s="143"/>
      <c r="D116" s="143"/>
      <c r="E116" s="5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50"/>
      <c r="B117" s="50"/>
      <c r="C117" s="143"/>
      <c r="D117" s="143"/>
      <c r="E117" s="5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50"/>
      <c r="B118" s="50"/>
      <c r="C118" s="143"/>
      <c r="D118" s="143"/>
      <c r="E118" s="5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50"/>
      <c r="B119" s="50"/>
      <c r="C119" s="143"/>
      <c r="D119" s="143"/>
      <c r="E119" s="5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50"/>
      <c r="B120" s="50"/>
      <c r="C120" s="143"/>
      <c r="D120" s="143"/>
      <c r="E120" s="5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50"/>
      <c r="B121" s="50"/>
      <c r="C121" s="143"/>
      <c r="D121" s="143"/>
      <c r="E121" s="5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50"/>
      <c r="B122" s="50"/>
      <c r="C122" s="143"/>
      <c r="D122" s="143"/>
      <c r="E122" s="5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50"/>
      <c r="B123" s="50"/>
      <c r="C123" s="143"/>
      <c r="D123" s="143"/>
      <c r="E123" s="5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50"/>
      <c r="B124" s="50"/>
      <c r="C124" s="143"/>
      <c r="D124" s="143"/>
      <c r="E124" s="5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50"/>
      <c r="B125" s="50"/>
      <c r="C125" s="143"/>
      <c r="D125" s="143"/>
      <c r="E125" s="5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50"/>
      <c r="B126" s="50"/>
      <c r="C126" s="143"/>
      <c r="D126" s="143"/>
      <c r="E126" s="5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50"/>
      <c r="B127" s="50"/>
      <c r="C127" s="143"/>
      <c r="D127" s="143"/>
      <c r="E127" s="5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50"/>
      <c r="B128" s="50"/>
      <c r="C128" s="143"/>
      <c r="D128" s="143"/>
      <c r="E128" s="5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50"/>
      <c r="B129" s="50"/>
      <c r="C129" s="143"/>
      <c r="D129" s="143"/>
      <c r="E129" s="5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50"/>
      <c r="B130" s="50"/>
      <c r="C130" s="143"/>
      <c r="D130" s="143"/>
      <c r="E130" s="5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50"/>
      <c r="B131" s="50"/>
      <c r="C131" s="143"/>
      <c r="D131" s="143"/>
      <c r="E131" s="5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50"/>
      <c r="B132" s="50"/>
      <c r="C132" s="143"/>
      <c r="D132" s="143"/>
      <c r="E132" s="5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50"/>
      <c r="B133" s="50"/>
      <c r="C133" s="143"/>
      <c r="D133" s="143"/>
      <c r="E133" s="5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50"/>
      <c r="B134" s="50"/>
      <c r="C134" s="143"/>
      <c r="D134" s="143"/>
      <c r="E134" s="5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50"/>
      <c r="B135" s="50"/>
      <c r="C135" s="143"/>
      <c r="D135" s="143"/>
      <c r="E135" s="5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50"/>
      <c r="B136" s="50"/>
      <c r="C136" s="143"/>
      <c r="D136" s="143"/>
      <c r="E136" s="5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50"/>
      <c r="B137" s="50"/>
      <c r="C137" s="143"/>
      <c r="D137" s="143"/>
      <c r="E137" s="5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50"/>
      <c r="B138" s="50"/>
      <c r="C138" s="143"/>
      <c r="D138" s="143"/>
      <c r="E138" s="5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50"/>
      <c r="B139" s="50"/>
      <c r="C139" s="143"/>
      <c r="D139" s="143"/>
      <c r="E139" s="5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50"/>
      <c r="B140" s="50"/>
      <c r="C140" s="143"/>
      <c r="D140" s="143"/>
      <c r="E140" s="5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50"/>
      <c r="B141" s="50"/>
      <c r="C141" s="143"/>
      <c r="D141" s="143"/>
      <c r="E141" s="5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50"/>
      <c r="B142" s="50"/>
      <c r="C142" s="143"/>
      <c r="D142" s="143"/>
      <c r="E142" s="5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50"/>
      <c r="B143" s="50"/>
      <c r="C143" s="143"/>
      <c r="D143" s="143"/>
      <c r="E143" s="5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50"/>
      <c r="B144" s="50"/>
      <c r="C144" s="143"/>
      <c r="D144" s="143"/>
      <c r="E144" s="5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50"/>
      <c r="B145" s="50"/>
      <c r="C145" s="143"/>
      <c r="D145" s="143"/>
      <c r="E145" s="5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50"/>
      <c r="B146" s="50"/>
      <c r="C146" s="143"/>
      <c r="D146" s="143"/>
      <c r="E146" s="5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50"/>
      <c r="B147" s="50"/>
      <c r="C147" s="143"/>
      <c r="D147" s="143"/>
      <c r="E147" s="5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50"/>
      <c r="B148" s="50"/>
      <c r="C148" s="143"/>
      <c r="D148" s="143"/>
      <c r="E148" s="5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50"/>
      <c r="B149" s="50"/>
      <c r="C149" s="143"/>
      <c r="D149" s="143"/>
      <c r="E149" s="5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50"/>
      <c r="B150" s="50"/>
      <c r="C150" s="143"/>
      <c r="D150" s="143"/>
      <c r="E150" s="5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50"/>
      <c r="B151" s="50"/>
      <c r="C151" s="143"/>
      <c r="D151" s="143"/>
      <c r="E151" s="5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50"/>
      <c r="B152" s="50"/>
      <c r="C152" s="143"/>
      <c r="D152" s="143"/>
      <c r="E152" s="5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50"/>
      <c r="B153" s="50"/>
      <c r="C153" s="143"/>
      <c r="D153" s="143"/>
      <c r="E153" s="5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50"/>
      <c r="B154" s="50"/>
      <c r="C154" s="143"/>
      <c r="D154" s="143"/>
      <c r="E154" s="5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50"/>
      <c r="B155" s="50"/>
      <c r="C155" s="143"/>
      <c r="D155" s="143"/>
      <c r="E155" s="5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50"/>
      <c r="B156" s="50"/>
      <c r="C156" s="143"/>
      <c r="D156" s="143"/>
      <c r="E156" s="5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50"/>
      <c r="B157" s="50"/>
      <c r="C157" s="143"/>
      <c r="D157" s="143"/>
      <c r="E157" s="5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50"/>
      <c r="B158" s="50"/>
      <c r="C158" s="143"/>
      <c r="D158" s="143"/>
      <c r="E158" s="5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50"/>
      <c r="B159" s="50"/>
      <c r="C159" s="143"/>
      <c r="D159" s="143"/>
      <c r="E159" s="5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50"/>
      <c r="B160" s="50"/>
      <c r="C160" s="143"/>
      <c r="D160" s="143"/>
      <c r="E160" s="5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50"/>
      <c r="B161" s="50"/>
      <c r="C161" s="143"/>
      <c r="D161" s="143"/>
      <c r="E161" s="5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50"/>
      <c r="B162" s="50"/>
      <c r="C162" s="143"/>
      <c r="D162" s="143"/>
      <c r="E162" s="5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50"/>
      <c r="B163" s="50"/>
      <c r="C163" s="143"/>
      <c r="D163" s="143"/>
      <c r="E163" s="5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50"/>
      <c r="B164" s="50"/>
      <c r="C164" s="143"/>
      <c r="D164" s="143"/>
      <c r="E164" s="5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50"/>
      <c r="B165" s="50"/>
      <c r="C165" s="143"/>
      <c r="D165" s="143"/>
      <c r="E165" s="5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50"/>
      <c r="B166" s="50"/>
      <c r="C166" s="143"/>
      <c r="D166" s="143"/>
      <c r="E166" s="5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50"/>
      <c r="B167" s="50"/>
      <c r="C167" s="143"/>
      <c r="D167" s="143"/>
      <c r="E167" s="5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50"/>
      <c r="B168" s="50"/>
      <c r="C168" s="143"/>
      <c r="D168" s="143"/>
      <c r="E168" s="5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50"/>
      <c r="B169" s="50"/>
      <c r="C169" s="143"/>
      <c r="D169" s="143"/>
      <c r="E169" s="5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50"/>
      <c r="B170" s="50"/>
      <c r="C170" s="143"/>
      <c r="D170" s="143"/>
      <c r="E170" s="5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50"/>
      <c r="B171" s="50"/>
      <c r="C171" s="143"/>
      <c r="D171" s="143"/>
      <c r="E171" s="5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50"/>
      <c r="B172" s="50"/>
      <c r="C172" s="143"/>
      <c r="D172" s="143"/>
      <c r="E172" s="5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50"/>
      <c r="B173" s="50"/>
      <c r="C173" s="143"/>
      <c r="D173" s="143"/>
      <c r="E173" s="5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50"/>
      <c r="B174" s="50"/>
      <c r="C174" s="143"/>
      <c r="D174" s="143"/>
      <c r="E174" s="5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50"/>
      <c r="B175" s="50"/>
      <c r="C175" s="143"/>
      <c r="D175" s="143"/>
      <c r="E175" s="5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50"/>
      <c r="B176" s="50"/>
      <c r="C176" s="143"/>
      <c r="D176" s="143"/>
      <c r="E176" s="5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50"/>
      <c r="B177" s="50"/>
      <c r="C177" s="143"/>
      <c r="D177" s="143"/>
      <c r="E177" s="5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50"/>
      <c r="B178" s="50"/>
      <c r="C178" s="143"/>
      <c r="D178" s="143"/>
      <c r="E178" s="5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50"/>
      <c r="B179" s="50"/>
      <c r="C179" s="143"/>
      <c r="D179" s="143"/>
      <c r="E179" s="5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50"/>
      <c r="B180" s="50"/>
      <c r="C180" s="143"/>
      <c r="D180" s="143"/>
      <c r="E180" s="5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50"/>
      <c r="B181" s="50"/>
      <c r="C181" s="143"/>
      <c r="D181" s="143"/>
      <c r="E181" s="5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50"/>
      <c r="B182" s="50"/>
      <c r="C182" s="143"/>
      <c r="D182" s="143"/>
      <c r="E182" s="5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50"/>
      <c r="B183" s="50"/>
      <c r="C183" s="143"/>
      <c r="D183" s="143"/>
      <c r="E183" s="5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50"/>
      <c r="B184" s="50"/>
      <c r="C184" s="143"/>
      <c r="D184" s="143"/>
      <c r="E184" s="5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50"/>
      <c r="B185" s="50"/>
      <c r="C185" s="143"/>
      <c r="D185" s="143"/>
      <c r="E185" s="5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50"/>
      <c r="B186" s="50"/>
      <c r="C186" s="143"/>
      <c r="D186" s="143"/>
      <c r="E186" s="5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50"/>
      <c r="B187" s="50"/>
      <c r="C187" s="143"/>
      <c r="D187" s="143"/>
      <c r="E187" s="5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50"/>
      <c r="B188" s="50"/>
      <c r="C188" s="143"/>
      <c r="D188" s="143"/>
      <c r="E188" s="5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50"/>
      <c r="B189" s="50"/>
      <c r="C189" s="143"/>
      <c r="D189" s="143"/>
      <c r="E189" s="5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50"/>
      <c r="B190" s="50"/>
      <c r="C190" s="143"/>
      <c r="D190" s="143"/>
      <c r="E190" s="5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50"/>
      <c r="B191" s="50"/>
      <c r="C191" s="143"/>
      <c r="D191" s="143"/>
      <c r="E191" s="5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50"/>
      <c r="B192" s="50"/>
      <c r="C192" s="143"/>
      <c r="D192" s="143"/>
      <c r="E192" s="5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50"/>
      <c r="B193" s="50"/>
      <c r="C193" s="143"/>
      <c r="D193" s="143"/>
      <c r="E193" s="5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50"/>
      <c r="B194" s="50"/>
      <c r="C194" s="143"/>
      <c r="D194" s="143"/>
      <c r="E194" s="5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50"/>
      <c r="B195" s="50"/>
      <c r="C195" s="143"/>
      <c r="D195" s="143"/>
      <c r="E195" s="5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50"/>
      <c r="B196" s="50"/>
      <c r="C196" s="143"/>
      <c r="D196" s="143"/>
      <c r="E196" s="5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50"/>
      <c r="B197" s="50"/>
      <c r="C197" s="143"/>
      <c r="D197" s="143"/>
      <c r="E197" s="5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50"/>
      <c r="B198" s="50"/>
      <c r="C198" s="143"/>
      <c r="D198" s="143"/>
      <c r="E198" s="5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50"/>
      <c r="B199" s="50"/>
      <c r="C199" s="143"/>
      <c r="D199" s="143"/>
      <c r="E199" s="5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50"/>
      <c r="B200" s="50"/>
      <c r="C200" s="143"/>
      <c r="D200" s="143"/>
      <c r="E200" s="5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50"/>
      <c r="B201" s="50"/>
      <c r="C201" s="143"/>
      <c r="D201" s="143"/>
      <c r="E201" s="5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50"/>
      <c r="B202" s="50"/>
      <c r="C202" s="143"/>
      <c r="D202" s="143"/>
      <c r="E202" s="5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50"/>
      <c r="B203" s="50"/>
      <c r="C203" s="143"/>
      <c r="D203" s="143"/>
      <c r="E203" s="5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50"/>
      <c r="B204" s="50"/>
      <c r="C204" s="143"/>
      <c r="D204" s="143"/>
      <c r="E204" s="5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50"/>
      <c r="B205" s="50"/>
      <c r="C205" s="143"/>
      <c r="D205" s="143"/>
      <c r="E205" s="5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50"/>
      <c r="B206" s="50"/>
      <c r="C206" s="143"/>
      <c r="D206" s="143"/>
      <c r="E206" s="5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50"/>
      <c r="B207" s="50"/>
      <c r="C207" s="143"/>
      <c r="D207" s="143"/>
      <c r="E207" s="5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50"/>
      <c r="B208" s="50"/>
      <c r="C208" s="143"/>
      <c r="D208" s="143"/>
      <c r="E208" s="5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50"/>
      <c r="B209" s="50"/>
      <c r="C209" s="143"/>
      <c r="D209" s="143"/>
      <c r="E209" s="5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50"/>
      <c r="B210" s="50"/>
      <c r="C210" s="143"/>
      <c r="D210" s="143"/>
      <c r="E210" s="5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50"/>
      <c r="B211" s="50"/>
      <c r="C211" s="143"/>
      <c r="D211" s="143"/>
      <c r="E211" s="5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50"/>
      <c r="B212" s="50"/>
      <c r="C212" s="143"/>
      <c r="D212" s="143"/>
      <c r="E212" s="5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50"/>
      <c r="B213" s="50"/>
      <c r="C213" s="143"/>
      <c r="D213" s="143"/>
      <c r="E213" s="5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50"/>
      <c r="B214" s="50"/>
      <c r="C214" s="143"/>
      <c r="D214" s="143"/>
      <c r="E214" s="5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50"/>
      <c r="B215" s="50"/>
      <c r="C215" s="143"/>
      <c r="D215" s="143"/>
      <c r="E215" s="5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50"/>
      <c r="B216" s="50"/>
      <c r="C216" s="143"/>
      <c r="D216" s="143"/>
      <c r="E216" s="5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50"/>
      <c r="B217" s="50"/>
      <c r="C217" s="143"/>
      <c r="D217" s="143"/>
      <c r="E217" s="5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50"/>
      <c r="B218" s="50"/>
      <c r="C218" s="143"/>
      <c r="D218" s="143"/>
      <c r="E218" s="5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50"/>
      <c r="B219" s="50"/>
      <c r="C219" s="143"/>
      <c r="D219" s="143"/>
      <c r="E219" s="5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50"/>
      <c r="B220" s="50"/>
      <c r="C220" s="143"/>
      <c r="D220" s="143"/>
      <c r="E220" s="5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50"/>
      <c r="B221" s="50"/>
      <c r="C221" s="143"/>
      <c r="D221" s="143"/>
      <c r="E221" s="5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50"/>
      <c r="B222" s="50"/>
      <c r="C222" s="143"/>
      <c r="D222" s="143"/>
      <c r="E222" s="5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50"/>
      <c r="B223" s="50"/>
      <c r="C223" s="143"/>
      <c r="D223" s="143"/>
      <c r="E223" s="5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50"/>
      <c r="B224" s="50"/>
      <c r="C224" s="143"/>
      <c r="D224" s="143"/>
      <c r="E224" s="5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50"/>
      <c r="B225" s="50"/>
      <c r="C225" s="143"/>
      <c r="D225" s="143"/>
      <c r="E225" s="5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50"/>
      <c r="B226" s="50"/>
      <c r="C226" s="143"/>
      <c r="D226" s="143"/>
      <c r="E226" s="5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50"/>
      <c r="B227" s="50"/>
      <c r="C227" s="143"/>
      <c r="D227" s="143"/>
      <c r="E227" s="5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50"/>
      <c r="B228" s="50"/>
      <c r="C228" s="143"/>
      <c r="D228" s="143"/>
      <c r="E228" s="5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50"/>
      <c r="B229" s="50"/>
      <c r="C229" s="143"/>
      <c r="D229" s="143"/>
      <c r="E229" s="5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50"/>
      <c r="B230" s="50"/>
      <c r="C230" s="143"/>
      <c r="D230" s="143"/>
      <c r="E230" s="5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50"/>
      <c r="B231" s="50"/>
      <c r="C231" s="143"/>
      <c r="D231" s="143"/>
      <c r="E231" s="5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50"/>
      <c r="B232" s="50"/>
      <c r="C232" s="143"/>
      <c r="D232" s="143"/>
      <c r="E232" s="5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50"/>
      <c r="B233" s="50"/>
      <c r="C233" s="143"/>
      <c r="D233" s="143"/>
      <c r="E233" s="5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50"/>
      <c r="B234" s="50"/>
      <c r="C234" s="143"/>
      <c r="D234" s="143"/>
      <c r="E234" s="5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50"/>
      <c r="B235" s="50"/>
      <c r="C235" s="143"/>
      <c r="D235" s="143"/>
      <c r="E235" s="5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50"/>
      <c r="B236" s="50"/>
      <c r="C236" s="143"/>
      <c r="D236" s="143"/>
      <c r="E236" s="5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50"/>
      <c r="B237" s="50"/>
      <c r="C237" s="143"/>
      <c r="D237" s="143"/>
      <c r="E237" s="5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50"/>
      <c r="B238" s="50"/>
      <c r="C238" s="143"/>
      <c r="D238" s="143"/>
      <c r="E238" s="5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50"/>
      <c r="B239" s="50"/>
      <c r="C239" s="143"/>
      <c r="D239" s="143"/>
      <c r="E239" s="5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511811024" right="0.511811024" top="0.78740157499999996" bottom="0.78740157499999996" header="0" footer="0"/>
  <pageSetup orientation="landscape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000"/>
  <sheetViews>
    <sheetView workbookViewId="0"/>
  </sheetViews>
  <sheetFormatPr defaultColWidth="14.453125" defaultRowHeight="15" customHeight="1"/>
  <cols>
    <col min="1" max="1" width="8.7265625" customWidth="1"/>
    <col min="2" max="2" width="21.26953125" customWidth="1"/>
    <col min="3" max="3" width="41.08984375" customWidth="1"/>
    <col min="4" max="6" width="8.7265625" customWidth="1"/>
  </cols>
  <sheetData>
    <row r="1" spans="1:3" ht="15.75" customHeight="1">
      <c r="A1" s="513" t="s">
        <v>1167</v>
      </c>
      <c r="B1" s="514"/>
      <c r="C1" s="175" t="e">
        <f>Apresentadores!E9+Círculos!E17+'Boa Vontade'!E59+Tráfego!E61+Banda!E47+Cozinha!E44+#REF!+Lanche!E56+'Liturgia e Vigília'!E58+Minibox!E63+Sociodrama!E40+'Trânsito e Recepção'!E57+Ordem!E54+Secretaria!E43+'Som e Iluminação'!E38+Geral!E10</f>
        <v>#REF!</v>
      </c>
    </row>
    <row r="2" spans="1:3" ht="15.75" customHeight="1">
      <c r="A2" s="513" t="s">
        <v>1168</v>
      </c>
      <c r="B2" s="514"/>
      <c r="C2" s="175">
        <v>7</v>
      </c>
    </row>
    <row r="3" spans="1:3" ht="15.75" customHeight="1">
      <c r="A3" s="513" t="s">
        <v>1169</v>
      </c>
      <c r="B3" s="514"/>
      <c r="C3" s="175" t="e">
        <f>Círculos!E14+'Boa Vontade'!E56+Tráfego!E58+Banda!E44+Cozinha!E41+#REF!+Lanche!E53+'Liturgia e Vigília'!E55+Minibox!E60+Sociodrama!E37+'Trânsito e Recepção'!E54+Ordem!E51+Secretaria!E40+'Som e Iluminação'!E35</f>
        <v>#REF!</v>
      </c>
    </row>
    <row r="4" spans="1:3" ht="15.75" customHeight="1">
      <c r="A4" s="513" t="s">
        <v>37</v>
      </c>
      <c r="B4" s="514"/>
      <c r="C4" s="175" t="e">
        <f>Círculos!E15+'Boa Vontade'!E57+Tráfego!E59+Banda!E45+Cozinha!E42+#REF!+Lanche!E54+'Liturgia e Vigília'!E56+Minibox!E61+Sociodrama!E38+'Trânsito e Recepção'!E55+Ordem!E52+Secretaria!E41+'Som e Iluminação'!E36</f>
        <v>#REF!</v>
      </c>
    </row>
    <row r="5" spans="1:3" ht="15.75" customHeight="1">
      <c r="A5" s="513" t="s">
        <v>38</v>
      </c>
      <c r="B5" s="514"/>
      <c r="C5" s="175" t="e">
        <f>Círculos!E16+'Boa Vontade'!E58+Tráfego!E60+Banda!E46+Cozinha!E43+#REF!+Lanche!E55+'Liturgia e Vigília'!E57+Minibox!E62+Sociodrama!E39+'Trânsito e Recepção'!E56+Ordem!E53+Secretaria!E42+'Som e Iluminação'!E37</f>
        <v>#REF!</v>
      </c>
    </row>
    <row r="6" spans="1:3" ht="15.75" customHeight="1">
      <c r="A6" s="513" t="s">
        <v>1170</v>
      </c>
      <c r="B6" s="514"/>
      <c r="C6" s="175"/>
    </row>
    <row r="7" spans="1:3" ht="15.75" customHeight="1">
      <c r="A7" s="515" t="s">
        <v>1171</v>
      </c>
      <c r="B7" s="514"/>
      <c r="C7" s="457" t="e">
        <f>SUM(C1+C2+C4+C5+(C3*2)+C6)</f>
        <v>#REF!</v>
      </c>
    </row>
    <row r="8" spans="1:3" ht="15.75" customHeight="1">
      <c r="C8" s="46"/>
    </row>
    <row r="9" spans="1:3" ht="15.75" customHeight="1">
      <c r="C9" s="46"/>
    </row>
    <row r="10" spans="1:3" ht="15.75" customHeight="1">
      <c r="C10" s="46"/>
    </row>
    <row r="11" spans="1:3" ht="15.75" customHeight="1">
      <c r="C11" s="46"/>
    </row>
    <row r="12" spans="1:3" ht="15.75" customHeight="1">
      <c r="C12" s="46"/>
    </row>
    <row r="13" spans="1:3" ht="15.75" customHeight="1">
      <c r="C13" s="46"/>
    </row>
    <row r="14" spans="1:3" ht="15.75" customHeight="1"/>
    <row r="15" spans="1:3" ht="15.75" customHeight="1">
      <c r="C15" s="46"/>
    </row>
    <row r="16" spans="1:3" ht="15.75" customHeight="1">
      <c r="C16" s="46"/>
    </row>
    <row r="17" spans="3:3" ht="15.75" customHeight="1">
      <c r="C17" s="46"/>
    </row>
    <row r="18" spans="3:3" ht="15.75" customHeight="1">
      <c r="C18" s="46"/>
    </row>
    <row r="19" spans="3:3" ht="15.75" customHeight="1">
      <c r="C19" s="46"/>
    </row>
    <row r="20" spans="3:3" ht="15.75" customHeight="1">
      <c r="C20" s="46"/>
    </row>
    <row r="21" spans="3:3" ht="15.75" customHeight="1">
      <c r="C21" s="46"/>
    </row>
    <row r="22" spans="3:3" ht="15.75" customHeight="1">
      <c r="C22" s="46"/>
    </row>
    <row r="23" spans="3:3" ht="15.75" customHeight="1">
      <c r="C23" s="46"/>
    </row>
    <row r="24" spans="3:3" ht="15.75" customHeight="1">
      <c r="C24" s="46"/>
    </row>
    <row r="25" spans="3:3" ht="15.75" customHeight="1">
      <c r="C25" s="46"/>
    </row>
    <row r="26" spans="3:3" ht="15.75" customHeight="1">
      <c r="C26" s="46"/>
    </row>
    <row r="27" spans="3:3" ht="15.75" customHeight="1">
      <c r="C27" s="46"/>
    </row>
    <row r="28" spans="3:3" ht="15.75" customHeight="1">
      <c r="C28" s="46"/>
    </row>
    <row r="29" spans="3:3" ht="15.75" customHeight="1">
      <c r="C29" s="46"/>
    </row>
    <row r="30" spans="3:3" ht="15.75" customHeight="1">
      <c r="C30" s="46"/>
    </row>
    <row r="31" spans="3:3" ht="15.75" customHeight="1">
      <c r="C31" s="46"/>
    </row>
    <row r="32" spans="3:3" ht="15.75" customHeight="1">
      <c r="C32" s="46"/>
    </row>
    <row r="33" spans="3:3" ht="15.75" customHeight="1">
      <c r="C33" s="46"/>
    </row>
    <row r="34" spans="3:3" ht="15.75" customHeight="1">
      <c r="C34" s="46"/>
    </row>
    <row r="35" spans="3:3" ht="15.75" customHeight="1">
      <c r="C35" s="46"/>
    </row>
    <row r="36" spans="3:3" ht="15.75" customHeight="1">
      <c r="C36" s="46"/>
    </row>
    <row r="37" spans="3:3" ht="15.75" customHeight="1">
      <c r="C37" s="46"/>
    </row>
    <row r="38" spans="3:3" ht="15.75" customHeight="1">
      <c r="C38" s="46"/>
    </row>
    <row r="39" spans="3:3" ht="15.75" customHeight="1">
      <c r="C39" s="46"/>
    </row>
    <row r="40" spans="3:3" ht="15.75" customHeight="1">
      <c r="C40" s="46"/>
    </row>
    <row r="41" spans="3:3" ht="15.75" customHeight="1">
      <c r="C41" s="46"/>
    </row>
    <row r="42" spans="3:3" ht="15.75" customHeight="1">
      <c r="C42" s="46"/>
    </row>
    <row r="43" spans="3:3" ht="15.75" customHeight="1">
      <c r="C43" s="46"/>
    </row>
    <row r="44" spans="3:3" ht="15.75" customHeight="1">
      <c r="C44" s="46"/>
    </row>
    <row r="45" spans="3:3" ht="15.75" customHeight="1">
      <c r="C45" s="46"/>
    </row>
    <row r="46" spans="3:3" ht="15.75" customHeight="1">
      <c r="C46" s="46"/>
    </row>
    <row r="47" spans="3:3" ht="15.75" customHeight="1">
      <c r="C47" s="46"/>
    </row>
    <row r="48" spans="3:3" ht="15.75" customHeight="1">
      <c r="C48" s="46"/>
    </row>
    <row r="49" spans="3:3" ht="15.75" customHeight="1">
      <c r="C49" s="46"/>
    </row>
    <row r="50" spans="3:3" ht="15.75" customHeight="1">
      <c r="C50" s="46"/>
    </row>
    <row r="51" spans="3:3" ht="15.75" customHeight="1">
      <c r="C51" s="46"/>
    </row>
    <row r="52" spans="3:3" ht="15.75" customHeight="1">
      <c r="C52" s="46"/>
    </row>
    <row r="53" spans="3:3" ht="15.75" customHeight="1">
      <c r="C53" s="46"/>
    </row>
    <row r="54" spans="3:3" ht="15.75" customHeight="1">
      <c r="C54" s="46"/>
    </row>
    <row r="55" spans="3:3" ht="15.75" customHeight="1">
      <c r="C55" s="46"/>
    </row>
    <row r="56" spans="3:3" ht="15.75" customHeight="1">
      <c r="C56" s="46"/>
    </row>
    <row r="57" spans="3:3" ht="15.75" customHeight="1">
      <c r="C57" s="46"/>
    </row>
    <row r="58" spans="3:3" ht="15.75" customHeight="1">
      <c r="C58" s="46"/>
    </row>
    <row r="59" spans="3:3" ht="15.75" customHeight="1">
      <c r="C59" s="46"/>
    </row>
    <row r="60" spans="3:3" ht="15.75" customHeight="1">
      <c r="C60" s="46"/>
    </row>
    <row r="61" spans="3:3" ht="15.75" customHeight="1">
      <c r="C61" s="46"/>
    </row>
    <row r="62" spans="3:3" ht="15.75" customHeight="1">
      <c r="C62" s="46"/>
    </row>
    <row r="63" spans="3:3" ht="15.75" customHeight="1">
      <c r="C63" s="46"/>
    </row>
    <row r="64" spans="3:3" ht="15.75" customHeight="1">
      <c r="C64" s="46"/>
    </row>
    <row r="65" spans="3:3" ht="15.75" customHeight="1">
      <c r="C65" s="46"/>
    </row>
    <row r="66" spans="3:3" ht="15.75" customHeight="1">
      <c r="C66" s="46"/>
    </row>
    <row r="67" spans="3:3" ht="15.75" customHeight="1">
      <c r="C67" s="46"/>
    </row>
    <row r="68" spans="3:3" ht="15.75" customHeight="1">
      <c r="C68" s="46"/>
    </row>
    <row r="69" spans="3:3" ht="15.75" customHeight="1">
      <c r="C69" s="46"/>
    </row>
    <row r="70" spans="3:3" ht="15.75" customHeight="1">
      <c r="C70" s="46"/>
    </row>
    <row r="71" spans="3:3" ht="15.75" customHeight="1">
      <c r="C71" s="46"/>
    </row>
    <row r="72" spans="3:3" ht="15.75" customHeight="1">
      <c r="C72" s="46"/>
    </row>
    <row r="73" spans="3:3" ht="15.75" customHeight="1">
      <c r="C73" s="46"/>
    </row>
    <row r="74" spans="3:3" ht="15.75" customHeight="1">
      <c r="C74" s="46"/>
    </row>
    <row r="75" spans="3:3" ht="15.75" customHeight="1">
      <c r="C75" s="46"/>
    </row>
    <row r="76" spans="3:3" ht="15.75" customHeight="1">
      <c r="C76" s="46"/>
    </row>
    <row r="77" spans="3:3" ht="15.75" customHeight="1">
      <c r="C77" s="46"/>
    </row>
    <row r="78" spans="3:3" ht="15.75" customHeight="1">
      <c r="C78" s="46"/>
    </row>
    <row r="79" spans="3:3" ht="15.75" customHeight="1">
      <c r="C79" s="46"/>
    </row>
    <row r="80" spans="3:3" ht="15.75" customHeight="1">
      <c r="C80" s="46"/>
    </row>
    <row r="81" spans="3:3" ht="15.75" customHeight="1">
      <c r="C81" s="46"/>
    </row>
    <row r="82" spans="3:3" ht="15.75" customHeight="1">
      <c r="C82" s="46"/>
    </row>
    <row r="83" spans="3:3" ht="15.75" customHeight="1">
      <c r="C83" s="46"/>
    </row>
    <row r="84" spans="3:3" ht="15.75" customHeight="1">
      <c r="C84" s="46"/>
    </row>
    <row r="85" spans="3:3" ht="15.75" customHeight="1">
      <c r="C85" s="46"/>
    </row>
    <row r="86" spans="3:3" ht="15.75" customHeight="1">
      <c r="C86" s="46"/>
    </row>
    <row r="87" spans="3:3" ht="15.75" customHeight="1">
      <c r="C87" s="46"/>
    </row>
    <row r="88" spans="3:3" ht="15.75" customHeight="1">
      <c r="C88" s="46"/>
    </row>
    <row r="89" spans="3:3" ht="15.75" customHeight="1">
      <c r="C89" s="46"/>
    </row>
    <row r="90" spans="3:3" ht="15.75" customHeight="1">
      <c r="C90" s="46"/>
    </row>
    <row r="91" spans="3:3" ht="15.75" customHeight="1">
      <c r="C91" s="46"/>
    </row>
    <row r="92" spans="3:3" ht="15.75" customHeight="1">
      <c r="C92" s="46"/>
    </row>
    <row r="93" spans="3:3" ht="15.75" customHeight="1">
      <c r="C93" s="46"/>
    </row>
    <row r="94" spans="3:3" ht="15.75" customHeight="1">
      <c r="C94" s="46"/>
    </row>
    <row r="95" spans="3:3" ht="15.75" customHeight="1">
      <c r="C95" s="46"/>
    </row>
    <row r="96" spans="3:3" ht="15.75" customHeight="1">
      <c r="C96" s="46"/>
    </row>
    <row r="97" spans="3:3" ht="15.75" customHeight="1">
      <c r="C97" s="46"/>
    </row>
    <row r="98" spans="3:3" ht="15.75" customHeight="1">
      <c r="C98" s="46"/>
    </row>
    <row r="99" spans="3:3" ht="15.75" customHeight="1">
      <c r="C99" s="46"/>
    </row>
    <row r="100" spans="3:3" ht="15.75" customHeight="1">
      <c r="C100" s="46"/>
    </row>
    <row r="101" spans="3:3" ht="15.75" customHeight="1">
      <c r="C101" s="46"/>
    </row>
    <row r="102" spans="3:3" ht="15.75" customHeight="1">
      <c r="C102" s="46"/>
    </row>
    <row r="103" spans="3:3" ht="15.75" customHeight="1">
      <c r="C103" s="46"/>
    </row>
    <row r="104" spans="3:3" ht="15.75" customHeight="1">
      <c r="C104" s="46"/>
    </row>
    <row r="105" spans="3:3" ht="15.75" customHeight="1">
      <c r="C105" s="46"/>
    </row>
    <row r="106" spans="3:3" ht="15.75" customHeight="1">
      <c r="C106" s="46"/>
    </row>
    <row r="107" spans="3:3" ht="15.75" customHeight="1">
      <c r="C107" s="46"/>
    </row>
    <row r="108" spans="3:3" ht="15.75" customHeight="1">
      <c r="C108" s="46"/>
    </row>
    <row r="109" spans="3:3" ht="15.75" customHeight="1">
      <c r="C109" s="46"/>
    </row>
    <row r="110" spans="3:3" ht="15.75" customHeight="1">
      <c r="C110" s="46"/>
    </row>
    <row r="111" spans="3:3" ht="15.75" customHeight="1">
      <c r="C111" s="46"/>
    </row>
    <row r="112" spans="3:3" ht="15.75" customHeight="1">
      <c r="C112" s="46"/>
    </row>
    <row r="113" spans="3:3" ht="15.75" customHeight="1">
      <c r="C113" s="46"/>
    </row>
    <row r="114" spans="3:3" ht="15.75" customHeight="1">
      <c r="C114" s="46"/>
    </row>
    <row r="115" spans="3:3" ht="15.75" customHeight="1">
      <c r="C115" s="46"/>
    </row>
    <row r="116" spans="3:3" ht="15.75" customHeight="1">
      <c r="C116" s="46"/>
    </row>
    <row r="117" spans="3:3" ht="15.75" customHeight="1">
      <c r="C117" s="46"/>
    </row>
    <row r="118" spans="3:3" ht="15.75" customHeight="1">
      <c r="C118" s="46"/>
    </row>
    <row r="119" spans="3:3" ht="15.75" customHeight="1">
      <c r="C119" s="46"/>
    </row>
    <row r="120" spans="3:3" ht="15.75" customHeight="1">
      <c r="C120" s="46"/>
    </row>
    <row r="121" spans="3:3" ht="15.75" customHeight="1">
      <c r="C121" s="46"/>
    </row>
    <row r="122" spans="3:3" ht="15.75" customHeight="1">
      <c r="C122" s="46"/>
    </row>
    <row r="123" spans="3:3" ht="15.75" customHeight="1">
      <c r="C123" s="46"/>
    </row>
    <row r="124" spans="3:3" ht="15.75" customHeight="1">
      <c r="C124" s="46"/>
    </row>
    <row r="125" spans="3:3" ht="15.75" customHeight="1">
      <c r="C125" s="46"/>
    </row>
    <row r="126" spans="3:3" ht="15.75" customHeight="1">
      <c r="C126" s="46"/>
    </row>
    <row r="127" spans="3:3" ht="15.75" customHeight="1">
      <c r="C127" s="46"/>
    </row>
    <row r="128" spans="3:3" ht="15.75" customHeight="1">
      <c r="C128" s="46"/>
    </row>
    <row r="129" spans="3:3" ht="15.75" customHeight="1">
      <c r="C129" s="46"/>
    </row>
    <row r="130" spans="3:3" ht="15.75" customHeight="1">
      <c r="C130" s="46"/>
    </row>
    <row r="131" spans="3:3" ht="15.75" customHeight="1">
      <c r="C131" s="46"/>
    </row>
    <row r="132" spans="3:3" ht="15.75" customHeight="1">
      <c r="C132" s="46"/>
    </row>
    <row r="133" spans="3:3" ht="15.75" customHeight="1">
      <c r="C133" s="46"/>
    </row>
    <row r="134" spans="3:3" ht="15.75" customHeight="1">
      <c r="C134" s="46"/>
    </row>
    <row r="135" spans="3:3" ht="15.75" customHeight="1">
      <c r="C135" s="46"/>
    </row>
    <row r="136" spans="3:3" ht="15.75" customHeight="1">
      <c r="C136" s="46"/>
    </row>
    <row r="137" spans="3:3" ht="15.75" customHeight="1">
      <c r="C137" s="46"/>
    </row>
    <row r="138" spans="3:3" ht="15.75" customHeight="1">
      <c r="C138" s="46"/>
    </row>
    <row r="139" spans="3:3" ht="15.75" customHeight="1">
      <c r="C139" s="46"/>
    </row>
    <row r="140" spans="3:3" ht="15.75" customHeight="1">
      <c r="C140" s="46"/>
    </row>
    <row r="141" spans="3:3" ht="15.75" customHeight="1">
      <c r="C141" s="46"/>
    </row>
    <row r="142" spans="3:3" ht="15.75" customHeight="1">
      <c r="C142" s="46"/>
    </row>
    <row r="143" spans="3:3" ht="15.75" customHeight="1">
      <c r="C143" s="46"/>
    </row>
    <row r="144" spans="3:3" ht="15.75" customHeight="1">
      <c r="C144" s="46"/>
    </row>
    <row r="145" spans="3:3" ht="15.75" customHeight="1">
      <c r="C145" s="46"/>
    </row>
    <row r="146" spans="3:3" ht="15.75" customHeight="1">
      <c r="C146" s="46"/>
    </row>
    <row r="147" spans="3:3" ht="15.75" customHeight="1">
      <c r="C147" s="46"/>
    </row>
    <row r="148" spans="3:3" ht="15.75" customHeight="1">
      <c r="C148" s="46"/>
    </row>
    <row r="149" spans="3:3" ht="15.75" customHeight="1">
      <c r="C149" s="46"/>
    </row>
    <row r="150" spans="3:3" ht="15.75" customHeight="1">
      <c r="C150" s="46"/>
    </row>
    <row r="151" spans="3:3" ht="15.75" customHeight="1">
      <c r="C151" s="46"/>
    </row>
    <row r="152" spans="3:3" ht="15.75" customHeight="1">
      <c r="C152" s="46"/>
    </row>
    <row r="153" spans="3:3" ht="15.75" customHeight="1">
      <c r="C153" s="46"/>
    </row>
    <row r="154" spans="3:3" ht="15.75" customHeight="1">
      <c r="C154" s="46"/>
    </row>
    <row r="155" spans="3:3" ht="15.75" customHeight="1">
      <c r="C155" s="46"/>
    </row>
    <row r="156" spans="3:3" ht="15.75" customHeight="1">
      <c r="C156" s="46"/>
    </row>
    <row r="157" spans="3:3" ht="15.75" customHeight="1">
      <c r="C157" s="46"/>
    </row>
    <row r="158" spans="3:3" ht="15.75" customHeight="1">
      <c r="C158" s="46"/>
    </row>
    <row r="159" spans="3:3" ht="15.75" customHeight="1">
      <c r="C159" s="46"/>
    </row>
    <row r="160" spans="3:3" ht="15.75" customHeight="1">
      <c r="C160" s="46"/>
    </row>
    <row r="161" spans="3:3" ht="15.75" customHeight="1">
      <c r="C161" s="46"/>
    </row>
    <row r="162" spans="3:3" ht="15.75" customHeight="1">
      <c r="C162" s="46"/>
    </row>
    <row r="163" spans="3:3" ht="15.75" customHeight="1">
      <c r="C163" s="46"/>
    </row>
    <row r="164" spans="3:3" ht="15.75" customHeight="1">
      <c r="C164" s="46"/>
    </row>
    <row r="165" spans="3:3" ht="15.75" customHeight="1">
      <c r="C165" s="46"/>
    </row>
    <row r="166" spans="3:3" ht="15.75" customHeight="1">
      <c r="C166" s="46"/>
    </row>
    <row r="167" spans="3:3" ht="15.75" customHeight="1">
      <c r="C167" s="46"/>
    </row>
    <row r="168" spans="3:3" ht="15.75" customHeight="1">
      <c r="C168" s="46"/>
    </row>
    <row r="169" spans="3:3" ht="15.75" customHeight="1">
      <c r="C169" s="46"/>
    </row>
    <row r="170" spans="3:3" ht="15.75" customHeight="1">
      <c r="C170" s="46"/>
    </row>
    <row r="171" spans="3:3" ht="15.75" customHeight="1">
      <c r="C171" s="46"/>
    </row>
    <row r="172" spans="3:3" ht="15.75" customHeight="1">
      <c r="C172" s="46"/>
    </row>
    <row r="173" spans="3:3" ht="15.75" customHeight="1">
      <c r="C173" s="46"/>
    </row>
    <row r="174" spans="3:3" ht="15.75" customHeight="1">
      <c r="C174" s="46"/>
    </row>
    <row r="175" spans="3:3" ht="15.75" customHeight="1">
      <c r="C175" s="46"/>
    </row>
    <row r="176" spans="3:3" ht="15.75" customHeight="1">
      <c r="C176" s="46"/>
    </row>
    <row r="177" spans="3:3" ht="15.75" customHeight="1">
      <c r="C177" s="46"/>
    </row>
    <row r="178" spans="3:3" ht="15.75" customHeight="1">
      <c r="C178" s="46"/>
    </row>
    <row r="179" spans="3:3" ht="15.75" customHeight="1">
      <c r="C179" s="46"/>
    </row>
    <row r="180" spans="3:3" ht="15.75" customHeight="1">
      <c r="C180" s="46"/>
    </row>
    <row r="181" spans="3:3" ht="15.75" customHeight="1">
      <c r="C181" s="46"/>
    </row>
    <row r="182" spans="3:3" ht="15.75" customHeight="1">
      <c r="C182" s="46"/>
    </row>
    <row r="183" spans="3:3" ht="15.75" customHeight="1">
      <c r="C183" s="46"/>
    </row>
    <row r="184" spans="3:3" ht="15.75" customHeight="1">
      <c r="C184" s="46"/>
    </row>
    <row r="185" spans="3:3" ht="15.75" customHeight="1">
      <c r="C185" s="46"/>
    </row>
    <row r="186" spans="3:3" ht="15.75" customHeight="1">
      <c r="C186" s="46"/>
    </row>
    <row r="187" spans="3:3" ht="15.75" customHeight="1">
      <c r="C187" s="46"/>
    </row>
    <row r="188" spans="3:3" ht="15.75" customHeight="1">
      <c r="C188" s="46"/>
    </row>
    <row r="189" spans="3:3" ht="15.75" customHeight="1">
      <c r="C189" s="46"/>
    </row>
    <row r="190" spans="3:3" ht="15.75" customHeight="1">
      <c r="C190" s="46"/>
    </row>
    <row r="191" spans="3:3" ht="15.75" customHeight="1">
      <c r="C191" s="46"/>
    </row>
    <row r="192" spans="3:3" ht="15.75" customHeight="1">
      <c r="C192" s="46"/>
    </row>
    <row r="193" spans="3:3" ht="15.75" customHeight="1">
      <c r="C193" s="46"/>
    </row>
    <row r="194" spans="3:3" ht="15.75" customHeight="1">
      <c r="C194" s="46"/>
    </row>
    <row r="195" spans="3:3" ht="15.75" customHeight="1">
      <c r="C195" s="46"/>
    </row>
    <row r="196" spans="3:3" ht="15.75" customHeight="1">
      <c r="C196" s="46"/>
    </row>
    <row r="197" spans="3:3" ht="15.75" customHeight="1">
      <c r="C197" s="46"/>
    </row>
    <row r="198" spans="3:3" ht="15.75" customHeight="1">
      <c r="C198" s="46"/>
    </row>
    <row r="199" spans="3:3" ht="15.75" customHeight="1">
      <c r="C199" s="46"/>
    </row>
    <row r="200" spans="3:3" ht="15.75" customHeight="1">
      <c r="C200" s="46"/>
    </row>
    <row r="201" spans="3:3" ht="15.75" customHeight="1">
      <c r="C201" s="46"/>
    </row>
    <row r="202" spans="3:3" ht="15.75" customHeight="1">
      <c r="C202" s="46"/>
    </row>
    <row r="203" spans="3:3" ht="15.75" customHeight="1">
      <c r="C203" s="46"/>
    </row>
    <row r="204" spans="3:3" ht="15.75" customHeight="1">
      <c r="C204" s="46"/>
    </row>
    <row r="205" spans="3:3" ht="15.75" customHeight="1">
      <c r="C205" s="46"/>
    </row>
    <row r="206" spans="3:3" ht="15.75" customHeight="1">
      <c r="C206" s="46"/>
    </row>
    <row r="207" spans="3:3" ht="15.75" customHeight="1">
      <c r="C207" s="46"/>
    </row>
    <row r="208" spans="3:3" ht="15.75" customHeight="1">
      <c r="C208" s="46"/>
    </row>
    <row r="209" spans="3:3" ht="15.75" customHeight="1">
      <c r="C209" s="46"/>
    </row>
    <row r="210" spans="3:3" ht="15.75" customHeight="1">
      <c r="C210" s="46"/>
    </row>
    <row r="211" spans="3:3" ht="15.75" customHeight="1">
      <c r="C211" s="46"/>
    </row>
    <row r="212" spans="3:3" ht="15.75" customHeight="1">
      <c r="C212" s="46"/>
    </row>
    <row r="213" spans="3:3" ht="15.75" customHeight="1">
      <c r="C213" s="46"/>
    </row>
    <row r="214" spans="3:3" ht="15.75" customHeight="1">
      <c r="C214" s="46"/>
    </row>
    <row r="215" spans="3:3" ht="15.75" customHeight="1">
      <c r="C215" s="46"/>
    </row>
    <row r="216" spans="3:3" ht="15.75" customHeight="1">
      <c r="C216" s="46"/>
    </row>
    <row r="217" spans="3:3" ht="15.75" customHeight="1">
      <c r="C217" s="46"/>
    </row>
    <row r="218" spans="3:3" ht="15.75" customHeight="1">
      <c r="C218" s="46"/>
    </row>
    <row r="219" spans="3:3" ht="15.75" customHeight="1">
      <c r="C219" s="46"/>
    </row>
    <row r="220" spans="3:3" ht="15.75" customHeight="1">
      <c r="C220" s="46"/>
    </row>
    <row r="221" spans="3:3" ht="15.75" customHeight="1"/>
    <row r="222" spans="3:3" ht="15.75" customHeight="1"/>
    <row r="223" spans="3:3" ht="15.75" customHeight="1"/>
    <row r="224" spans="3: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6:B6"/>
    <mergeCell ref="A7:B7"/>
    <mergeCell ref="A1:B1"/>
    <mergeCell ref="A2:B2"/>
    <mergeCell ref="A3:B3"/>
    <mergeCell ref="A4:B4"/>
    <mergeCell ref="A5:B5"/>
  </mergeCells>
  <pageMargins left="0.511811024" right="0.511811024" top="0.78740157499999996" bottom="0.78740157499999996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813"/>
  <sheetViews>
    <sheetView workbookViewId="0">
      <pane ySplit="2" topLeftCell="A3" activePane="bottomLeft" state="frozen"/>
      <selection pane="bottomLeft" activeCell="B4" sqref="B4"/>
    </sheetView>
  </sheetViews>
  <sheetFormatPr defaultColWidth="14.453125" defaultRowHeight="15" customHeight="1"/>
  <cols>
    <col min="1" max="1" width="4.08984375" customWidth="1"/>
    <col min="2" max="2" width="56.81640625" customWidth="1"/>
    <col min="3" max="3" width="42.7265625" customWidth="1"/>
    <col min="4" max="4" width="32.26953125" customWidth="1"/>
    <col min="5" max="5" width="7.7265625" customWidth="1"/>
    <col min="6" max="6" width="83.453125" customWidth="1"/>
  </cols>
  <sheetData>
    <row r="1" spans="1:27" ht="15.5">
      <c r="A1" s="50"/>
      <c r="B1" s="517" t="s">
        <v>1172</v>
      </c>
      <c r="C1" s="518"/>
      <c r="D1" s="518"/>
      <c r="E1" s="518"/>
      <c r="F1" s="519"/>
    </row>
    <row r="2" spans="1:27" ht="15.75" customHeight="1">
      <c r="A2" s="207"/>
      <c r="B2" s="458" t="s">
        <v>1</v>
      </c>
      <c r="C2" s="459" t="s">
        <v>2</v>
      </c>
      <c r="D2" s="458" t="s">
        <v>27</v>
      </c>
      <c r="E2" s="460"/>
      <c r="F2" s="461" t="s">
        <v>1173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7" ht="15.75" customHeight="1">
      <c r="A3" s="377"/>
      <c r="B3" s="520" t="s">
        <v>1174</v>
      </c>
      <c r="C3" s="521"/>
      <c r="D3" s="521"/>
      <c r="E3" s="521"/>
      <c r="F3" s="51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7" ht="15.75" customHeight="1">
      <c r="A4" s="462"/>
      <c r="B4" s="84"/>
      <c r="C4" s="84"/>
      <c r="D4" s="463"/>
      <c r="E4" s="463" t="s">
        <v>7</v>
      </c>
      <c r="F4" s="464"/>
    </row>
    <row r="5" spans="1:27" ht="15.75" customHeight="1">
      <c r="A5" s="3"/>
      <c r="B5" s="42"/>
      <c r="C5" s="81"/>
      <c r="D5" s="81"/>
      <c r="E5" s="81" t="s">
        <v>7</v>
      </c>
      <c r="F5" s="464"/>
    </row>
    <row r="6" spans="1:27" ht="15.75" customHeight="1">
      <c r="A6" s="465"/>
      <c r="B6" s="466"/>
      <c r="C6" s="466"/>
      <c r="D6" s="463"/>
      <c r="E6" s="463" t="s">
        <v>78</v>
      </c>
      <c r="F6" s="464"/>
    </row>
    <row r="7" spans="1:27" ht="15.75" customHeight="1">
      <c r="A7" s="467">
        <v>49</v>
      </c>
      <c r="B7" s="84"/>
      <c r="C7" s="84"/>
      <c r="D7" s="468"/>
      <c r="E7" s="42" t="s">
        <v>17</v>
      </c>
      <c r="F7" s="468"/>
      <c r="G7" s="469"/>
      <c r="H7" s="469"/>
      <c r="I7" s="469"/>
      <c r="J7" s="469"/>
      <c r="K7" s="469"/>
      <c r="L7" s="469"/>
      <c r="M7" s="469"/>
      <c r="N7" s="469"/>
      <c r="O7" s="469"/>
      <c r="P7" s="469"/>
      <c r="Q7" s="469"/>
      <c r="R7" s="469"/>
      <c r="S7" s="469"/>
      <c r="T7" s="469"/>
      <c r="U7" s="469"/>
      <c r="V7" s="469"/>
      <c r="W7" s="469"/>
      <c r="X7" s="469"/>
      <c r="Y7" s="469"/>
      <c r="Z7" s="469"/>
      <c r="AA7" s="469"/>
    </row>
    <row r="8" spans="1:27" ht="15.75" customHeight="1">
      <c r="A8" s="467">
        <v>46</v>
      </c>
      <c r="B8" s="42"/>
      <c r="C8" s="81"/>
      <c r="D8" s="468"/>
      <c r="E8" s="42" t="s">
        <v>17</v>
      </c>
      <c r="F8" s="468"/>
      <c r="G8" s="469"/>
      <c r="H8" s="469"/>
      <c r="I8" s="469"/>
      <c r="J8" s="469"/>
      <c r="K8" s="469"/>
      <c r="L8" s="469"/>
      <c r="M8" s="469"/>
      <c r="N8" s="469"/>
      <c r="O8" s="469"/>
      <c r="P8" s="469"/>
      <c r="Q8" s="469"/>
      <c r="R8" s="469"/>
      <c r="S8" s="469"/>
      <c r="T8" s="469"/>
      <c r="U8" s="469"/>
      <c r="V8" s="469"/>
      <c r="W8" s="469"/>
      <c r="X8" s="469"/>
      <c r="Y8" s="469"/>
      <c r="Z8" s="469"/>
      <c r="AA8" s="469"/>
    </row>
    <row r="9" spans="1:27" ht="15.75" customHeight="1">
      <c r="A9" s="467">
        <v>39</v>
      </c>
      <c r="B9" s="466"/>
      <c r="C9" s="466"/>
      <c r="D9" s="468"/>
      <c r="E9" s="42" t="s">
        <v>17</v>
      </c>
      <c r="F9" s="468"/>
      <c r="G9" s="469"/>
      <c r="H9" s="469"/>
      <c r="I9" s="469"/>
      <c r="J9" s="469"/>
      <c r="K9" s="469"/>
      <c r="L9" s="469"/>
      <c r="M9" s="469"/>
      <c r="N9" s="469"/>
      <c r="O9" s="469"/>
      <c r="P9" s="469"/>
      <c r="Q9" s="469"/>
      <c r="R9" s="469"/>
      <c r="S9" s="469"/>
      <c r="T9" s="469"/>
      <c r="U9" s="469"/>
      <c r="V9" s="469"/>
      <c r="W9" s="469"/>
      <c r="X9" s="469"/>
      <c r="Y9" s="469"/>
      <c r="Z9" s="469"/>
      <c r="AA9" s="469"/>
    </row>
    <row r="10" spans="1:27" ht="15.75" customHeight="1">
      <c r="B10" s="84"/>
      <c r="C10" s="84"/>
      <c r="D10" s="334"/>
      <c r="E10" s="470"/>
      <c r="F10" s="464"/>
    </row>
    <row r="11" spans="1:27" ht="17.25" customHeight="1">
      <c r="B11" s="42"/>
      <c r="C11" s="81"/>
      <c r="D11" s="334"/>
      <c r="E11" s="470"/>
      <c r="F11" s="464"/>
    </row>
    <row r="12" spans="1:27" ht="17.25" customHeight="1">
      <c r="B12" s="42"/>
      <c r="C12" s="81"/>
      <c r="D12" s="395"/>
      <c r="E12" s="81"/>
      <c r="F12" s="464"/>
    </row>
    <row r="13" spans="1:27" ht="17.25" customHeight="1">
      <c r="B13" s="110"/>
      <c r="C13" s="91"/>
      <c r="D13" s="82"/>
      <c r="E13" s="81"/>
      <c r="F13" s="464"/>
    </row>
    <row r="14" spans="1:27" ht="17.25" customHeight="1">
      <c r="B14" s="471"/>
      <c r="C14" s="471"/>
      <c r="D14" s="471"/>
      <c r="E14" s="84"/>
      <c r="F14" s="464"/>
    </row>
    <row r="15" spans="1:27" ht="17.25" customHeight="1">
      <c r="D15" s="84"/>
      <c r="E15" s="84"/>
      <c r="F15" s="464"/>
    </row>
    <row r="16" spans="1:27" ht="17.25" customHeight="1">
      <c r="B16" s="472"/>
      <c r="C16" s="84"/>
      <c r="D16" s="473"/>
      <c r="E16" s="84"/>
      <c r="F16" s="464"/>
    </row>
    <row r="17" spans="1:27" ht="17.25" customHeight="1">
      <c r="B17" s="84"/>
      <c r="C17" s="84"/>
      <c r="D17" s="473"/>
      <c r="E17" s="84"/>
      <c r="F17" s="464"/>
    </row>
    <row r="18" spans="1:27" ht="17.25" customHeight="1">
      <c r="B18" s="42"/>
      <c r="C18" s="42"/>
      <c r="D18" s="168"/>
      <c r="E18" s="42"/>
      <c r="F18" s="72"/>
    </row>
    <row r="19" spans="1:27" ht="17.25" customHeight="1">
      <c r="B19" s="42"/>
      <c r="C19" s="42"/>
      <c r="D19" s="168"/>
      <c r="E19" s="42"/>
      <c r="F19" s="72"/>
    </row>
    <row r="20" spans="1:27" ht="17.25" customHeight="1">
      <c r="B20" s="42"/>
      <c r="C20" s="42"/>
      <c r="D20" s="168"/>
      <c r="E20" s="42"/>
      <c r="F20" s="72"/>
    </row>
    <row r="21" spans="1:27" ht="17.25" customHeight="1">
      <c r="B21" s="471"/>
      <c r="C21" s="471"/>
      <c r="D21" s="471"/>
      <c r="E21" s="42"/>
      <c r="F21" s="464"/>
    </row>
    <row r="22" spans="1:27" ht="17.25" customHeight="1">
      <c r="B22" s="471"/>
      <c r="C22" s="471"/>
      <c r="D22" s="471"/>
      <c r="E22" s="42"/>
      <c r="F22" s="464"/>
    </row>
    <row r="23" spans="1:27" ht="17.25" customHeight="1">
      <c r="A23" s="168"/>
      <c r="B23" s="471"/>
      <c r="C23" s="471"/>
      <c r="D23" s="471"/>
      <c r="E23" s="42"/>
      <c r="F23" s="474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spans="1:27" ht="17.25" customHeight="1">
      <c r="A24" s="168"/>
      <c r="B24" s="471"/>
      <c r="C24" s="471"/>
      <c r="D24" s="471"/>
      <c r="E24" s="475"/>
      <c r="F24" s="474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spans="1:27" ht="17.25" customHeight="1">
      <c r="B25" s="471"/>
      <c r="C25" s="471"/>
      <c r="D25" s="471"/>
      <c r="E25" s="463"/>
      <c r="F25" s="464"/>
    </row>
    <row r="26" spans="1:27" ht="17.25" customHeight="1">
      <c r="B26" s="471"/>
      <c r="C26" s="471"/>
      <c r="D26" s="471"/>
      <c r="E26" s="463"/>
      <c r="F26" s="464"/>
    </row>
    <row r="27" spans="1:27" ht="17.25" customHeight="1">
      <c r="B27" s="471"/>
      <c r="C27" s="471"/>
      <c r="D27" s="471"/>
      <c r="E27" s="463"/>
      <c r="F27" s="464"/>
    </row>
    <row r="28" spans="1:27" ht="17.25" customHeight="1">
      <c r="B28" s="471"/>
      <c r="C28" s="471"/>
      <c r="D28" s="471"/>
      <c r="E28" s="463"/>
      <c r="F28" s="464"/>
    </row>
    <row r="29" spans="1:27" ht="17.25" customHeight="1">
      <c r="B29" s="471"/>
      <c r="C29" s="471"/>
      <c r="D29" s="471"/>
      <c r="E29" s="463"/>
      <c r="F29" s="464"/>
    </row>
    <row r="30" spans="1:27" ht="17.25" customHeight="1">
      <c r="B30" s="471"/>
      <c r="C30" s="471"/>
      <c r="D30" s="471"/>
      <c r="E30" s="463"/>
      <c r="F30" s="464"/>
    </row>
    <row r="31" spans="1:27" ht="17.25" customHeight="1">
      <c r="B31" s="471"/>
      <c r="C31" s="471"/>
      <c r="D31" s="471"/>
      <c r="E31" s="463"/>
      <c r="F31" s="464"/>
    </row>
    <row r="32" spans="1:27" ht="17.25" customHeight="1">
      <c r="B32" s="471"/>
      <c r="C32" s="471"/>
      <c r="D32" s="471"/>
      <c r="E32" s="463"/>
      <c r="F32" s="464"/>
    </row>
    <row r="33" spans="2:6" ht="17.25" customHeight="1">
      <c r="B33" s="471"/>
      <c r="C33" s="471"/>
      <c r="D33" s="471"/>
      <c r="E33" s="463"/>
      <c r="F33" s="464"/>
    </row>
    <row r="34" spans="2:6" ht="17.25" customHeight="1">
      <c r="B34" s="471"/>
      <c r="C34" s="471"/>
      <c r="D34" s="471"/>
      <c r="E34" s="463"/>
      <c r="F34" s="464"/>
    </row>
    <row r="35" spans="2:6" ht="17.25" customHeight="1">
      <c r="B35" s="471"/>
      <c r="C35" s="471"/>
      <c r="D35" s="471"/>
      <c r="E35" s="463"/>
      <c r="F35" s="464"/>
    </row>
    <row r="36" spans="2:6" ht="17.25" customHeight="1">
      <c r="B36" s="471"/>
      <c r="C36" s="471"/>
      <c r="D36" s="471"/>
      <c r="E36" s="463"/>
      <c r="F36" s="464"/>
    </row>
    <row r="37" spans="2:6" ht="17.25" customHeight="1">
      <c r="B37" s="471"/>
      <c r="C37" s="471"/>
      <c r="D37" s="471"/>
      <c r="E37" s="463"/>
      <c r="F37" s="464"/>
    </row>
    <row r="38" spans="2:6" ht="17.25" customHeight="1">
      <c r="B38" s="471"/>
      <c r="C38" s="471"/>
      <c r="D38" s="471"/>
      <c r="E38" s="463"/>
      <c r="F38" s="464"/>
    </row>
    <row r="39" spans="2:6" ht="17.25" customHeight="1">
      <c r="B39" s="471"/>
      <c r="C39" s="471"/>
      <c r="D39" s="471"/>
      <c r="E39" s="463"/>
      <c r="F39" s="464"/>
    </row>
    <row r="40" spans="2:6" ht="17.25" customHeight="1">
      <c r="B40" s="471"/>
      <c r="C40" s="471"/>
      <c r="D40" s="471"/>
      <c r="E40" s="463"/>
      <c r="F40" s="464"/>
    </row>
    <row r="41" spans="2:6" ht="17.25" customHeight="1">
      <c r="B41" s="471"/>
      <c r="C41" s="471"/>
      <c r="D41" s="471"/>
      <c r="E41" s="463"/>
      <c r="F41" s="464"/>
    </row>
    <row r="42" spans="2:6" ht="17.25" customHeight="1">
      <c r="B42" s="471"/>
      <c r="C42" s="471"/>
      <c r="D42" s="471"/>
      <c r="E42" s="463"/>
      <c r="F42" s="464"/>
    </row>
    <row r="43" spans="2:6" ht="17.25" customHeight="1">
      <c r="B43" s="471"/>
      <c r="C43" s="471"/>
      <c r="D43" s="471"/>
      <c r="E43" s="463"/>
      <c r="F43" s="464"/>
    </row>
    <row r="44" spans="2:6" ht="17.25" customHeight="1">
      <c r="B44" s="471"/>
      <c r="C44" s="471"/>
      <c r="D44" s="471"/>
      <c r="E44" s="463"/>
      <c r="F44" s="464"/>
    </row>
    <row r="45" spans="2:6" ht="17.25" customHeight="1">
      <c r="B45" s="471"/>
      <c r="C45" s="471"/>
      <c r="D45" s="471"/>
      <c r="E45" s="463"/>
      <c r="F45" s="464"/>
    </row>
    <row r="46" spans="2:6" ht="17.25" customHeight="1">
      <c r="B46" s="471"/>
      <c r="C46" s="471"/>
      <c r="D46" s="471"/>
      <c r="E46" s="463"/>
      <c r="F46" s="464"/>
    </row>
    <row r="47" spans="2:6" ht="17.25" customHeight="1">
      <c r="B47" s="471"/>
      <c r="C47" s="471"/>
      <c r="D47" s="471"/>
      <c r="E47" s="463"/>
      <c r="F47" s="464"/>
    </row>
    <row r="48" spans="2:6" ht="17.25" customHeight="1">
      <c r="B48" s="471"/>
      <c r="C48" s="471"/>
      <c r="D48" s="471"/>
      <c r="E48" s="463"/>
      <c r="F48" s="464"/>
    </row>
    <row r="49" spans="2:6" ht="17.25" customHeight="1">
      <c r="B49" s="471"/>
      <c r="C49" s="471"/>
      <c r="D49" s="471"/>
      <c r="E49" s="463"/>
      <c r="F49" s="464"/>
    </row>
    <row r="50" spans="2:6" ht="17.25" customHeight="1">
      <c r="B50" s="471"/>
      <c r="C50" s="471"/>
      <c r="D50" s="471"/>
      <c r="E50" s="463"/>
      <c r="F50" s="464"/>
    </row>
    <row r="51" spans="2:6" ht="17.25" customHeight="1">
      <c r="B51" s="471"/>
      <c r="C51" s="471"/>
      <c r="D51" s="471"/>
      <c r="E51" s="463"/>
      <c r="F51" s="464"/>
    </row>
    <row r="52" spans="2:6" ht="17.25" customHeight="1">
      <c r="B52" s="471"/>
      <c r="C52" s="471"/>
      <c r="D52" s="471"/>
      <c r="E52" s="463"/>
      <c r="F52" s="464"/>
    </row>
    <row r="53" spans="2:6" ht="17.25" customHeight="1">
      <c r="B53" s="471"/>
      <c r="C53" s="471"/>
      <c r="D53" s="471"/>
      <c r="E53" s="463"/>
      <c r="F53" s="464"/>
    </row>
    <row r="54" spans="2:6" ht="17.25" customHeight="1">
      <c r="B54" s="471"/>
      <c r="C54" s="471"/>
      <c r="D54" s="471"/>
      <c r="E54" s="463"/>
      <c r="F54" s="464"/>
    </row>
    <row r="55" spans="2:6" ht="17.25" customHeight="1">
      <c r="B55" s="471"/>
      <c r="C55" s="471"/>
      <c r="D55" s="471"/>
      <c r="E55" s="463"/>
      <c r="F55" s="464"/>
    </row>
    <row r="56" spans="2:6" ht="17.25" customHeight="1">
      <c r="B56" s="471"/>
      <c r="C56" s="471"/>
      <c r="D56" s="471"/>
      <c r="E56" s="463"/>
      <c r="F56" s="464"/>
    </row>
    <row r="57" spans="2:6" ht="17.25" customHeight="1">
      <c r="B57" s="471"/>
      <c r="C57" s="471"/>
      <c r="D57" s="471"/>
      <c r="E57" s="463"/>
      <c r="F57" s="464"/>
    </row>
    <row r="58" spans="2:6" ht="17.25" customHeight="1">
      <c r="B58" s="471"/>
      <c r="C58" s="471"/>
      <c r="D58" s="471"/>
      <c r="E58" s="463"/>
      <c r="F58" s="464"/>
    </row>
    <row r="59" spans="2:6" ht="17.25" customHeight="1">
      <c r="B59" s="471"/>
      <c r="C59" s="471"/>
      <c r="D59" s="471"/>
      <c r="E59" s="463"/>
      <c r="F59" s="464"/>
    </row>
    <row r="60" spans="2:6" ht="17.25" customHeight="1">
      <c r="B60" s="471"/>
      <c r="C60" s="471"/>
      <c r="D60" s="471"/>
      <c r="E60" s="463"/>
      <c r="F60" s="464"/>
    </row>
    <row r="61" spans="2:6" ht="17.25" customHeight="1">
      <c r="B61" s="471"/>
      <c r="C61" s="471"/>
      <c r="D61" s="471"/>
      <c r="E61" s="463"/>
      <c r="F61" s="464"/>
    </row>
    <row r="62" spans="2:6" ht="17.25" customHeight="1">
      <c r="B62" s="471"/>
      <c r="C62" s="471"/>
      <c r="D62" s="471"/>
      <c r="E62" s="463"/>
      <c r="F62" s="464"/>
    </row>
    <row r="63" spans="2:6" ht="17.25" customHeight="1">
      <c r="B63" s="471"/>
      <c r="C63" s="471"/>
      <c r="D63" s="471"/>
      <c r="E63" s="463"/>
      <c r="F63" s="464"/>
    </row>
    <row r="64" spans="2:6" ht="17.25" customHeight="1">
      <c r="B64" s="471"/>
      <c r="C64" s="471"/>
      <c r="D64" s="471"/>
      <c r="E64" s="463"/>
      <c r="F64" s="464"/>
    </row>
    <row r="65" spans="2:6" ht="17.25" customHeight="1">
      <c r="B65" s="471"/>
      <c r="C65" s="471"/>
      <c r="D65" s="471"/>
      <c r="E65" s="463"/>
      <c r="F65" s="464"/>
    </row>
    <row r="66" spans="2:6" ht="17.25" customHeight="1">
      <c r="B66" s="471"/>
      <c r="C66" s="471"/>
      <c r="D66" s="471"/>
      <c r="E66" s="463"/>
      <c r="F66" s="464"/>
    </row>
    <row r="67" spans="2:6" ht="17.25" customHeight="1">
      <c r="B67" s="471"/>
      <c r="C67" s="471"/>
      <c r="D67" s="471"/>
      <c r="E67" s="463"/>
      <c r="F67" s="464"/>
    </row>
    <row r="68" spans="2:6" ht="17.25" customHeight="1">
      <c r="B68" s="471"/>
      <c r="C68" s="471"/>
      <c r="D68" s="471"/>
      <c r="E68" s="463"/>
      <c r="F68" s="464"/>
    </row>
    <row r="69" spans="2:6" ht="17.25" customHeight="1">
      <c r="B69" s="471"/>
      <c r="C69" s="471"/>
      <c r="D69" s="471"/>
      <c r="E69" s="463"/>
      <c r="F69" s="464"/>
    </row>
    <row r="70" spans="2:6" ht="17.25" customHeight="1">
      <c r="B70" s="471"/>
      <c r="C70" s="471"/>
      <c r="D70" s="471"/>
      <c r="E70" s="463"/>
      <c r="F70" s="464"/>
    </row>
    <row r="71" spans="2:6" ht="17.25" customHeight="1">
      <c r="B71" s="471"/>
      <c r="C71" s="471"/>
      <c r="D71" s="471"/>
      <c r="E71" s="463"/>
      <c r="F71" s="464"/>
    </row>
    <row r="72" spans="2:6" ht="17.25" customHeight="1">
      <c r="B72" s="471"/>
      <c r="C72" s="471"/>
      <c r="D72" s="471"/>
      <c r="E72" s="463"/>
      <c r="F72" s="464"/>
    </row>
    <row r="73" spans="2:6" ht="17.25" customHeight="1">
      <c r="B73" s="471"/>
      <c r="C73" s="471"/>
      <c r="D73" s="471"/>
      <c r="E73" s="463"/>
      <c r="F73" s="464"/>
    </row>
    <row r="74" spans="2:6" ht="17.25" customHeight="1">
      <c r="B74" s="471"/>
      <c r="C74" s="471"/>
      <c r="D74" s="471"/>
      <c r="E74" s="463"/>
      <c r="F74" s="464"/>
    </row>
    <row r="75" spans="2:6" ht="17.25" customHeight="1">
      <c r="B75" s="471"/>
      <c r="C75" s="471"/>
      <c r="D75" s="471"/>
      <c r="E75" s="463"/>
      <c r="F75" s="464"/>
    </row>
    <row r="76" spans="2:6" ht="17.25" customHeight="1">
      <c r="B76" s="471"/>
      <c r="C76" s="471"/>
      <c r="D76" s="471"/>
      <c r="E76" s="463"/>
      <c r="F76" s="464"/>
    </row>
    <row r="77" spans="2:6" ht="17.25" customHeight="1">
      <c r="B77" s="471"/>
      <c r="C77" s="471"/>
      <c r="D77" s="471"/>
      <c r="E77" s="463"/>
      <c r="F77" s="464"/>
    </row>
    <row r="78" spans="2:6" ht="17.25" customHeight="1">
      <c r="B78" s="471"/>
      <c r="C78" s="471"/>
      <c r="D78" s="471"/>
      <c r="E78" s="463"/>
      <c r="F78" s="464"/>
    </row>
    <row r="79" spans="2:6" ht="17.25" customHeight="1">
      <c r="B79" s="471"/>
      <c r="C79" s="471"/>
      <c r="D79" s="471"/>
      <c r="E79" s="463"/>
      <c r="F79" s="464"/>
    </row>
    <row r="80" spans="2:6" ht="17.25" customHeight="1">
      <c r="B80" s="471"/>
      <c r="C80" s="471"/>
      <c r="D80" s="471"/>
      <c r="E80" s="463"/>
      <c r="F80" s="464"/>
    </row>
    <row r="81" spans="2:6" ht="17.25" customHeight="1">
      <c r="B81" s="471"/>
      <c r="C81" s="471"/>
      <c r="D81" s="471"/>
      <c r="E81" s="463"/>
      <c r="F81" s="464"/>
    </row>
    <row r="82" spans="2:6" ht="17.25" customHeight="1">
      <c r="B82" s="471"/>
      <c r="C82" s="471"/>
      <c r="D82" s="471"/>
      <c r="E82" s="463"/>
      <c r="F82" s="464"/>
    </row>
    <row r="83" spans="2:6" ht="17.25" customHeight="1">
      <c r="B83" s="471"/>
      <c r="C83" s="471"/>
      <c r="D83" s="471"/>
      <c r="E83" s="463"/>
      <c r="F83" s="464"/>
    </row>
    <row r="84" spans="2:6" ht="17.25" customHeight="1">
      <c r="B84" s="471"/>
      <c r="C84" s="471"/>
      <c r="D84" s="471"/>
      <c r="E84" s="463"/>
      <c r="F84" s="464"/>
    </row>
    <row r="85" spans="2:6" ht="17.25" customHeight="1">
      <c r="B85" s="471"/>
      <c r="C85" s="471"/>
      <c r="D85" s="471"/>
      <c r="E85" s="463"/>
      <c r="F85" s="464"/>
    </row>
    <row r="86" spans="2:6" ht="17.25" customHeight="1">
      <c r="B86" s="471"/>
      <c r="C86" s="471"/>
      <c r="D86" s="471"/>
      <c r="E86" s="463"/>
      <c r="F86" s="464"/>
    </row>
    <row r="87" spans="2:6" ht="17.25" customHeight="1">
      <c r="B87" s="471"/>
      <c r="C87" s="471"/>
      <c r="D87" s="471"/>
      <c r="E87" s="463"/>
      <c r="F87" s="464"/>
    </row>
    <row r="88" spans="2:6" ht="17.25" customHeight="1">
      <c r="B88" s="471"/>
      <c r="C88" s="471"/>
      <c r="D88" s="471"/>
      <c r="E88" s="463"/>
      <c r="F88" s="464"/>
    </row>
    <row r="89" spans="2:6" ht="17.25" customHeight="1">
      <c r="B89" s="471"/>
      <c r="C89" s="471"/>
      <c r="D89" s="471"/>
      <c r="E89" s="463"/>
      <c r="F89" s="464"/>
    </row>
    <row r="90" spans="2:6" ht="17.25" customHeight="1">
      <c r="B90" s="471"/>
      <c r="C90" s="471"/>
      <c r="D90" s="471"/>
      <c r="E90" s="463"/>
      <c r="F90" s="464"/>
    </row>
    <row r="91" spans="2:6" ht="17.25" customHeight="1">
      <c r="B91" s="471"/>
      <c r="C91" s="471"/>
      <c r="D91" s="471"/>
      <c r="E91" s="463"/>
      <c r="F91" s="464"/>
    </row>
    <row r="92" spans="2:6" ht="17.25" customHeight="1">
      <c r="B92" s="471"/>
      <c r="C92" s="471"/>
      <c r="D92" s="471"/>
      <c r="E92" s="463"/>
      <c r="F92" s="464"/>
    </row>
    <row r="93" spans="2:6" ht="17.25" customHeight="1">
      <c r="B93" s="476"/>
      <c r="C93" s="476"/>
      <c r="D93" s="222"/>
      <c r="E93" s="463"/>
      <c r="F93" s="464"/>
    </row>
    <row r="94" spans="2:6" ht="17.25" customHeight="1">
      <c r="B94" s="471"/>
      <c r="C94" s="471"/>
      <c r="D94" s="471"/>
      <c r="E94" s="463"/>
      <c r="F94" s="464"/>
    </row>
    <row r="95" spans="2:6" ht="17.25" customHeight="1">
      <c r="B95" s="471"/>
      <c r="C95" s="471"/>
      <c r="D95" s="471"/>
      <c r="E95" s="463"/>
      <c r="F95" s="464"/>
    </row>
    <row r="96" spans="2:6" ht="17.25" customHeight="1">
      <c r="B96" s="471"/>
      <c r="C96" s="471"/>
      <c r="D96" s="471"/>
      <c r="E96" s="463"/>
      <c r="F96" s="464"/>
    </row>
    <row r="97" spans="2:6" ht="17.25" customHeight="1">
      <c r="B97" s="471"/>
      <c r="C97" s="471"/>
      <c r="D97" s="471"/>
      <c r="E97" s="463"/>
      <c r="F97" s="464"/>
    </row>
    <row r="98" spans="2:6" ht="17.25" customHeight="1">
      <c r="B98" s="471"/>
      <c r="C98" s="471"/>
      <c r="D98" s="471"/>
      <c r="E98" s="463"/>
      <c r="F98" s="464"/>
    </row>
    <row r="99" spans="2:6" ht="17.25" customHeight="1">
      <c r="B99" s="471"/>
      <c r="C99" s="471"/>
      <c r="D99" s="471"/>
      <c r="E99" s="463"/>
      <c r="F99" s="464"/>
    </row>
    <row r="100" spans="2:6" ht="17.25" customHeight="1">
      <c r="B100" s="471"/>
      <c r="C100" s="471"/>
      <c r="D100" s="471"/>
      <c r="E100" s="463"/>
      <c r="F100" s="464"/>
    </row>
    <row r="101" spans="2:6" ht="17.25" customHeight="1">
      <c r="B101" s="471"/>
      <c r="C101" s="471"/>
      <c r="D101" s="471"/>
      <c r="E101" s="463"/>
      <c r="F101" s="464"/>
    </row>
    <row r="102" spans="2:6" ht="17.25" customHeight="1">
      <c r="B102" s="471"/>
      <c r="C102" s="471"/>
      <c r="D102" s="471"/>
      <c r="E102" s="463"/>
      <c r="F102" s="464"/>
    </row>
    <row r="103" spans="2:6" ht="17.25" customHeight="1">
      <c r="B103" s="471"/>
      <c r="C103" s="471"/>
      <c r="D103" s="471"/>
      <c r="E103" s="463"/>
      <c r="F103" s="464"/>
    </row>
    <row r="104" spans="2:6" ht="17.25" customHeight="1">
      <c r="B104" s="471"/>
      <c r="C104" s="471"/>
      <c r="D104" s="471"/>
      <c r="E104" s="463"/>
      <c r="F104" s="464"/>
    </row>
    <row r="105" spans="2:6" ht="17.25" customHeight="1">
      <c r="B105" s="471"/>
      <c r="C105" s="471"/>
      <c r="D105" s="471"/>
      <c r="E105" s="463"/>
      <c r="F105" s="464"/>
    </row>
    <row r="106" spans="2:6" ht="17.25" customHeight="1">
      <c r="B106" s="471"/>
      <c r="C106" s="471"/>
      <c r="D106" s="471"/>
      <c r="E106" s="463"/>
      <c r="F106" s="464"/>
    </row>
    <row r="107" spans="2:6" ht="17.25" customHeight="1">
      <c r="B107" s="471"/>
      <c r="C107" s="471"/>
      <c r="D107" s="471"/>
      <c r="E107" s="463"/>
      <c r="F107" s="464"/>
    </row>
    <row r="108" spans="2:6" ht="17.25" customHeight="1">
      <c r="B108" s="471"/>
      <c r="C108" s="471"/>
      <c r="D108" s="471"/>
      <c r="E108" s="463"/>
      <c r="F108" s="464"/>
    </row>
    <row r="109" spans="2:6" ht="17.25" customHeight="1">
      <c r="B109" s="471"/>
      <c r="C109" s="471"/>
      <c r="D109" s="471"/>
      <c r="E109" s="463"/>
      <c r="F109" s="464"/>
    </row>
    <row r="110" spans="2:6" ht="17.25" customHeight="1">
      <c r="B110" s="471"/>
      <c r="C110" s="471"/>
      <c r="D110" s="471"/>
      <c r="E110" s="283"/>
      <c r="F110" s="283"/>
    </row>
    <row r="111" spans="2:6" ht="17.25" customHeight="1">
      <c r="B111" s="471"/>
      <c r="C111" s="471"/>
      <c r="D111" s="471"/>
      <c r="E111" s="283"/>
      <c r="F111" s="283"/>
    </row>
    <row r="112" spans="2:6" ht="17.25" customHeight="1">
      <c r="B112" s="471"/>
      <c r="C112" s="471"/>
      <c r="D112" s="471"/>
      <c r="E112" s="283"/>
      <c r="F112" s="283"/>
    </row>
    <row r="113" spans="2:6" ht="17.25" customHeight="1">
      <c r="B113" s="471"/>
      <c r="C113" s="471"/>
      <c r="D113" s="471"/>
      <c r="E113" s="283"/>
      <c r="F113" s="283"/>
    </row>
    <row r="114" spans="2:6" ht="17.25" customHeight="1">
      <c r="B114" s="471"/>
      <c r="C114" s="471"/>
      <c r="D114" s="471"/>
      <c r="E114" s="283"/>
      <c r="F114" s="283"/>
    </row>
    <row r="115" spans="2:6" ht="17.25" customHeight="1">
      <c r="B115" s="471"/>
      <c r="C115" s="471"/>
      <c r="D115" s="471"/>
      <c r="E115" s="283"/>
      <c r="F115" s="477"/>
    </row>
    <row r="116" spans="2:6" ht="17.25" customHeight="1">
      <c r="B116" s="471"/>
      <c r="C116" s="471"/>
      <c r="D116" s="471"/>
      <c r="E116" s="283"/>
      <c r="F116" s="283"/>
    </row>
    <row r="117" spans="2:6" ht="17.25" customHeight="1">
      <c r="B117" s="471"/>
      <c r="C117" s="471"/>
      <c r="D117" s="471"/>
      <c r="E117" s="283"/>
      <c r="F117" s="283"/>
    </row>
    <row r="118" spans="2:6" ht="17.25" customHeight="1">
      <c r="B118" s="471"/>
      <c r="C118" s="471"/>
      <c r="D118" s="471"/>
      <c r="E118" s="283"/>
      <c r="F118" s="477"/>
    </row>
    <row r="119" spans="2:6" ht="17.25" customHeight="1">
      <c r="B119" s="478"/>
      <c r="C119" s="478"/>
      <c r="D119" s="478"/>
      <c r="E119" s="479"/>
      <c r="F119" s="480"/>
    </row>
    <row r="120" spans="2:6" ht="17.25" customHeight="1">
      <c r="B120" s="222"/>
      <c r="C120" s="222"/>
      <c r="D120" s="222"/>
      <c r="E120" s="87"/>
      <c r="F120" s="481"/>
    </row>
    <row r="121" spans="2:6" ht="17.25" customHeight="1">
      <c r="B121" s="222"/>
      <c r="C121" s="222"/>
      <c r="D121" s="222"/>
      <c r="E121" s="87"/>
      <c r="F121" s="481"/>
    </row>
    <row r="122" spans="2:6" ht="17.25" customHeight="1">
      <c r="B122" s="222"/>
      <c r="C122" s="222"/>
      <c r="D122" s="222"/>
      <c r="E122" s="87"/>
      <c r="F122" s="481"/>
    </row>
    <row r="123" spans="2:6" ht="17.25" customHeight="1">
      <c r="B123" s="482"/>
      <c r="C123" s="87"/>
      <c r="D123" s="87"/>
      <c r="E123" s="87"/>
      <c r="F123" s="72"/>
    </row>
    <row r="124" spans="2:6" ht="17.25" customHeight="1">
      <c r="B124" s="84"/>
      <c r="C124" s="87"/>
      <c r="D124" s="87"/>
      <c r="E124" s="87"/>
      <c r="F124" s="481"/>
    </row>
    <row r="125" spans="2:6" ht="17.25" customHeight="1">
      <c r="B125" s="84"/>
      <c r="C125" s="87"/>
      <c r="D125" s="87"/>
      <c r="E125" s="87"/>
      <c r="F125" s="72"/>
    </row>
    <row r="126" spans="2:6" ht="17.25" customHeight="1">
      <c r="B126" s="84"/>
      <c r="C126" s="87"/>
      <c r="D126" s="87"/>
      <c r="E126" s="87"/>
      <c r="F126" s="72"/>
    </row>
    <row r="127" spans="2:6" ht="17.25" customHeight="1">
      <c r="B127" s="483"/>
      <c r="C127" s="484"/>
      <c r="D127" s="485"/>
      <c r="E127" s="485"/>
      <c r="F127" s="72"/>
    </row>
    <row r="128" spans="2:6" ht="17.25" customHeight="1">
      <c r="B128" s="84"/>
      <c r="C128" s="87"/>
      <c r="D128" s="87"/>
      <c r="E128" s="87"/>
      <c r="F128" s="72"/>
    </row>
    <row r="129" spans="2:6" ht="17.25" customHeight="1">
      <c r="B129" s="486"/>
      <c r="C129" s="485"/>
      <c r="D129" s="485"/>
      <c r="E129" s="485"/>
      <c r="F129" s="72"/>
    </row>
    <row r="130" spans="2:6" ht="17.25" customHeight="1">
      <c r="B130" s="486"/>
      <c r="C130" s="485"/>
      <c r="D130" s="485"/>
      <c r="E130" s="485"/>
      <c r="F130" s="72"/>
    </row>
    <row r="131" spans="2:6" ht="17.25" customHeight="1">
      <c r="B131" s="478"/>
      <c r="C131" s="478"/>
      <c r="D131" s="478"/>
      <c r="E131" s="485"/>
      <c r="F131" s="72"/>
    </row>
    <row r="132" spans="2:6" ht="17.25" customHeight="1">
      <c r="B132" s="289"/>
      <c r="C132" s="487"/>
      <c r="D132" s="487"/>
      <c r="E132" s="488"/>
      <c r="F132" s="72"/>
    </row>
    <row r="133" spans="2:6" ht="17.25" customHeight="1">
      <c r="B133" s="289"/>
      <c r="C133" s="487"/>
      <c r="D133" s="487"/>
      <c r="E133" s="488"/>
      <c r="F133" s="72"/>
    </row>
    <row r="134" spans="2:6" ht="17.25" customHeight="1">
      <c r="B134" s="289"/>
      <c r="C134" s="487"/>
      <c r="D134" s="487"/>
      <c r="E134" s="488"/>
      <c r="F134" s="72"/>
    </row>
    <row r="135" spans="2:6" ht="17.25" customHeight="1">
      <c r="B135" s="289"/>
      <c r="C135" s="487"/>
      <c r="D135" s="487"/>
      <c r="E135" s="488"/>
      <c r="F135" s="72"/>
    </row>
    <row r="136" spans="2:6" ht="17.25" customHeight="1">
      <c r="B136" s="489"/>
      <c r="C136" s="489"/>
      <c r="D136" s="42"/>
      <c r="E136" s="27"/>
      <c r="F136" s="72"/>
    </row>
    <row r="137" spans="2:6" ht="17.25" customHeight="1">
      <c r="B137" s="471"/>
      <c r="C137" s="471"/>
      <c r="D137" s="471"/>
      <c r="E137" s="27"/>
      <c r="F137" s="72"/>
    </row>
    <row r="138" spans="2:6" ht="17.25" customHeight="1">
      <c r="B138" s="471"/>
      <c r="C138" s="471"/>
      <c r="D138" s="471"/>
      <c r="E138" s="27"/>
      <c r="F138" s="72"/>
    </row>
    <row r="139" spans="2:6" ht="17.25" customHeight="1">
      <c r="B139" s="471"/>
      <c r="C139" s="471"/>
      <c r="D139" s="471"/>
      <c r="E139" s="27"/>
      <c r="F139" s="72"/>
    </row>
    <row r="140" spans="2:6" ht="17.25" customHeight="1">
      <c r="B140" s="471"/>
      <c r="C140" s="471"/>
      <c r="D140" s="471"/>
      <c r="E140" s="27"/>
      <c r="F140" s="72"/>
    </row>
    <row r="141" spans="2:6" ht="17.25" customHeight="1">
      <c r="B141" s="471"/>
      <c r="C141" s="471"/>
      <c r="D141" s="471"/>
      <c r="E141" s="27"/>
      <c r="F141" s="72"/>
    </row>
    <row r="142" spans="2:6" ht="17.25" customHeight="1">
      <c r="B142" s="471"/>
      <c r="C142" s="471"/>
      <c r="D142" s="471"/>
      <c r="E142" s="27"/>
      <c r="F142" s="72"/>
    </row>
    <row r="143" spans="2:6" ht="17.25" customHeight="1">
      <c r="B143" s="471"/>
      <c r="C143" s="471"/>
      <c r="D143" s="471"/>
      <c r="E143" s="27"/>
      <c r="F143" s="72"/>
    </row>
    <row r="144" spans="2:6" ht="17.25" customHeight="1">
      <c r="B144" s="471"/>
      <c r="C144" s="471"/>
      <c r="D144" s="471"/>
      <c r="E144" s="27"/>
      <c r="F144" s="72"/>
    </row>
    <row r="145" spans="2:6" ht="17.25" customHeight="1">
      <c r="B145" s="471"/>
      <c r="C145" s="471"/>
      <c r="D145" s="471"/>
      <c r="E145" s="27"/>
      <c r="F145" s="72"/>
    </row>
    <row r="146" spans="2:6" ht="17.25" customHeight="1">
      <c r="B146" s="478"/>
      <c r="C146" s="478"/>
      <c r="D146" s="478"/>
      <c r="E146" s="27"/>
      <c r="F146" s="72"/>
    </row>
    <row r="147" spans="2:6" ht="17.25" customHeight="1">
      <c r="B147" s="471"/>
      <c r="C147" s="471"/>
      <c r="D147" s="471"/>
      <c r="E147" s="27"/>
      <c r="F147" s="72"/>
    </row>
    <row r="148" spans="2:6" ht="17.25" customHeight="1">
      <c r="B148" s="478"/>
      <c r="C148" s="478"/>
      <c r="D148" s="478"/>
      <c r="E148" s="27"/>
      <c r="F148" s="72"/>
    </row>
    <row r="149" spans="2:6" ht="17.25" customHeight="1">
      <c r="B149" s="471"/>
      <c r="C149" s="471"/>
      <c r="D149" s="471"/>
      <c r="E149" s="27"/>
      <c r="F149" s="72"/>
    </row>
    <row r="150" spans="2:6" ht="17.25" customHeight="1">
      <c r="B150" s="471"/>
      <c r="C150" s="471"/>
      <c r="D150" s="471"/>
      <c r="E150" s="27"/>
      <c r="F150" s="72"/>
    </row>
    <row r="151" spans="2:6" ht="17.25" customHeight="1">
      <c r="B151" s="471"/>
      <c r="C151" s="471"/>
      <c r="D151" s="471"/>
      <c r="E151" s="27"/>
      <c r="F151" s="72"/>
    </row>
    <row r="152" spans="2:6" ht="17.25" customHeight="1">
      <c r="B152" s="471"/>
      <c r="C152" s="471"/>
      <c r="D152" s="471"/>
      <c r="E152" s="27"/>
      <c r="F152" s="72"/>
    </row>
    <row r="153" spans="2:6" ht="17.25" customHeight="1">
      <c r="B153" s="471"/>
      <c r="C153" s="471"/>
      <c r="D153" s="471"/>
      <c r="E153" s="27"/>
      <c r="F153" s="72"/>
    </row>
    <row r="154" spans="2:6" ht="17.25" customHeight="1">
      <c r="B154" s="471"/>
      <c r="C154" s="471"/>
      <c r="D154" s="471"/>
      <c r="E154" s="27"/>
      <c r="F154" s="72"/>
    </row>
    <row r="155" spans="2:6" ht="17.25" customHeight="1">
      <c r="B155" s="471"/>
      <c r="C155" s="471"/>
      <c r="D155" s="471"/>
      <c r="E155" s="27"/>
      <c r="F155" s="72"/>
    </row>
    <row r="156" spans="2:6" ht="17.25" customHeight="1">
      <c r="B156" s="471"/>
      <c r="C156" s="471"/>
      <c r="D156" s="471"/>
      <c r="E156" s="27"/>
      <c r="F156" s="72"/>
    </row>
    <row r="157" spans="2:6" ht="17.25" customHeight="1">
      <c r="B157" s="471"/>
      <c r="C157" s="471"/>
      <c r="D157" s="471"/>
      <c r="E157" s="27"/>
      <c r="F157" s="72"/>
    </row>
    <row r="158" spans="2:6" ht="17.25" customHeight="1">
      <c r="B158" s="471"/>
      <c r="C158" s="471"/>
      <c r="D158" s="471"/>
      <c r="E158" s="27"/>
      <c r="F158" s="72"/>
    </row>
    <row r="159" spans="2:6" ht="17.25" customHeight="1">
      <c r="B159" s="471"/>
      <c r="C159" s="471"/>
      <c r="D159" s="471"/>
      <c r="E159" s="27"/>
      <c r="F159" s="72"/>
    </row>
    <row r="160" spans="2:6" ht="17.25" customHeight="1">
      <c r="B160" s="471"/>
      <c r="C160" s="471"/>
      <c r="D160" s="471"/>
      <c r="E160" s="27"/>
      <c r="F160" s="72"/>
    </row>
    <row r="161" spans="2:6" ht="17.25" customHeight="1">
      <c r="B161" s="471"/>
      <c r="C161" s="471"/>
      <c r="D161" s="471"/>
      <c r="E161" s="27"/>
      <c r="F161" s="72"/>
    </row>
    <row r="162" spans="2:6" ht="17.25" customHeight="1">
      <c r="B162" s="471"/>
      <c r="C162" s="471"/>
      <c r="D162" s="471"/>
      <c r="E162" s="27"/>
      <c r="F162" s="72"/>
    </row>
    <row r="163" spans="2:6" ht="17.25" customHeight="1">
      <c r="B163" s="471"/>
      <c r="C163" s="471"/>
      <c r="D163" s="471"/>
      <c r="E163" s="27"/>
      <c r="F163" s="72"/>
    </row>
    <row r="164" spans="2:6" ht="17.25" customHeight="1">
      <c r="B164" s="471"/>
      <c r="C164" s="471"/>
      <c r="D164" s="471"/>
      <c r="E164" s="27"/>
      <c r="F164" s="72"/>
    </row>
    <row r="165" spans="2:6" ht="17.25" customHeight="1">
      <c r="B165" s="471"/>
      <c r="C165" s="471"/>
      <c r="D165" s="471"/>
      <c r="E165" s="27"/>
      <c r="F165" s="72"/>
    </row>
    <row r="166" spans="2:6" ht="17.25" customHeight="1">
      <c r="B166" s="471"/>
      <c r="C166" s="471"/>
      <c r="D166" s="471"/>
      <c r="E166" s="27"/>
      <c r="F166" s="72"/>
    </row>
    <row r="167" spans="2:6" ht="17.25" customHeight="1">
      <c r="B167" s="471"/>
      <c r="C167" s="471"/>
      <c r="D167" s="471"/>
      <c r="E167" s="27"/>
      <c r="F167" s="72"/>
    </row>
    <row r="168" spans="2:6" ht="17.25" customHeight="1">
      <c r="B168" s="471"/>
      <c r="C168" s="471"/>
      <c r="D168" s="471"/>
      <c r="E168" s="27"/>
      <c r="F168" s="72"/>
    </row>
    <row r="169" spans="2:6" ht="17.25" customHeight="1">
      <c r="B169" s="471"/>
      <c r="C169" s="471"/>
      <c r="D169" s="471"/>
      <c r="E169" s="27"/>
      <c r="F169" s="72"/>
    </row>
    <row r="170" spans="2:6" ht="17.25" customHeight="1">
      <c r="B170" s="471"/>
      <c r="C170" s="471"/>
      <c r="D170" s="471"/>
      <c r="E170" s="27"/>
      <c r="F170" s="72"/>
    </row>
    <row r="171" spans="2:6" ht="17.25" customHeight="1">
      <c r="B171" s="471"/>
      <c r="C171" s="471"/>
      <c r="D171" s="471"/>
      <c r="E171" s="27"/>
      <c r="F171" s="72"/>
    </row>
    <row r="172" spans="2:6" ht="17.25" customHeight="1">
      <c r="B172" s="471"/>
      <c r="C172" s="471"/>
      <c r="D172" s="471"/>
      <c r="E172" s="27"/>
      <c r="F172" s="72"/>
    </row>
    <row r="173" spans="2:6" ht="17.25" customHeight="1">
      <c r="B173" s="471"/>
      <c r="C173" s="471"/>
      <c r="D173" s="471"/>
      <c r="E173" s="27"/>
      <c r="F173" s="72"/>
    </row>
    <row r="174" spans="2:6" ht="17.25" customHeight="1">
      <c r="B174" s="471"/>
      <c r="C174" s="471"/>
      <c r="D174" s="471"/>
      <c r="E174" s="27"/>
      <c r="F174" s="72"/>
    </row>
    <row r="175" spans="2:6" ht="17.25" customHeight="1">
      <c r="B175" s="471"/>
      <c r="C175" s="471"/>
      <c r="D175" s="471"/>
      <c r="E175" s="27"/>
      <c r="F175" s="72"/>
    </row>
    <row r="176" spans="2:6" ht="17.25" customHeight="1">
      <c r="B176" s="471"/>
      <c r="C176" s="471"/>
      <c r="D176" s="471"/>
      <c r="E176" s="27"/>
      <c r="F176" s="72"/>
    </row>
    <row r="177" spans="2:6" ht="17.25" customHeight="1">
      <c r="B177" s="478"/>
      <c r="C177" s="478"/>
      <c r="D177" s="478"/>
      <c r="E177" s="27"/>
      <c r="F177" s="72"/>
    </row>
    <row r="178" spans="2:6" ht="17.25" customHeight="1">
      <c r="B178" s="471"/>
      <c r="C178" s="471"/>
      <c r="D178" s="471"/>
      <c r="E178" s="27"/>
      <c r="F178" s="72"/>
    </row>
    <row r="179" spans="2:6" ht="17.25" customHeight="1">
      <c r="B179" s="471"/>
      <c r="C179" s="471"/>
      <c r="D179" s="471"/>
      <c r="E179" s="27"/>
      <c r="F179" s="72"/>
    </row>
    <row r="180" spans="2:6" ht="17.25" customHeight="1">
      <c r="B180" s="478"/>
      <c r="C180" s="478"/>
      <c r="D180" s="478"/>
      <c r="E180" s="27"/>
      <c r="F180" s="72"/>
    </row>
    <row r="181" spans="2:6" ht="17.25" customHeight="1">
      <c r="B181" s="478"/>
      <c r="C181" s="478"/>
      <c r="D181" s="478"/>
      <c r="E181" s="27"/>
      <c r="F181" s="72"/>
    </row>
    <row r="182" spans="2:6" ht="17.25" customHeight="1">
      <c r="B182" s="478"/>
      <c r="C182" s="478"/>
      <c r="D182" s="478"/>
      <c r="E182" s="27"/>
      <c r="F182" s="72"/>
    </row>
    <row r="183" spans="2:6" ht="17.25" customHeight="1">
      <c r="B183" s="478"/>
      <c r="C183" s="478"/>
      <c r="D183" s="478"/>
      <c r="E183" s="27"/>
      <c r="F183" s="72"/>
    </row>
    <row r="184" spans="2:6" ht="17.25" customHeight="1">
      <c r="B184" s="478"/>
      <c r="C184" s="478"/>
      <c r="D184" s="478"/>
      <c r="E184" s="27"/>
      <c r="F184" s="72"/>
    </row>
    <row r="185" spans="2:6" ht="17.25" customHeight="1">
      <c r="B185" s="478"/>
      <c r="C185" s="478"/>
      <c r="D185" s="478"/>
      <c r="E185" s="27"/>
      <c r="F185" s="72"/>
    </row>
    <row r="186" spans="2:6" ht="17.25" customHeight="1">
      <c r="B186" s="522" t="s">
        <v>426</v>
      </c>
      <c r="C186" s="521"/>
      <c r="D186" s="521"/>
      <c r="E186" s="521"/>
      <c r="F186" s="514"/>
    </row>
    <row r="187" spans="2:6" ht="17.25" customHeight="1">
      <c r="B187" s="84"/>
      <c r="C187" s="87"/>
      <c r="D187" s="87"/>
      <c r="E187" s="87"/>
      <c r="F187" s="481"/>
    </row>
    <row r="188" spans="2:6" ht="17.25" customHeight="1">
      <c r="B188" s="482"/>
      <c r="C188" s="490"/>
      <c r="D188" s="87"/>
      <c r="E188" s="87"/>
      <c r="F188" s="481"/>
    </row>
    <row r="189" spans="2:6" ht="17.25" customHeight="1">
      <c r="B189" s="84"/>
      <c r="C189" s="11"/>
      <c r="D189" s="87"/>
      <c r="E189" s="87"/>
      <c r="F189" s="481"/>
    </row>
    <row r="190" spans="2:6" ht="17.25" customHeight="1">
      <c r="B190" s="486"/>
      <c r="C190" s="485"/>
      <c r="D190" s="485"/>
      <c r="E190" s="485"/>
      <c r="F190" s="491"/>
    </row>
    <row r="191" spans="2:6" ht="17.25" customHeight="1">
      <c r="B191" s="84"/>
      <c r="C191" s="87"/>
      <c r="D191" s="87"/>
      <c r="E191" s="87"/>
      <c r="F191" s="72"/>
    </row>
    <row r="192" spans="2:6" ht="17.25" customHeight="1">
      <c r="B192" s="84"/>
      <c r="C192" s="87"/>
      <c r="D192" s="87"/>
      <c r="E192" s="87"/>
      <c r="F192" s="481"/>
    </row>
    <row r="193" spans="1:24" ht="17.25" customHeight="1">
      <c r="B193" s="84"/>
      <c r="C193" s="87"/>
      <c r="D193" s="87"/>
      <c r="E193" s="87"/>
      <c r="F193" s="72"/>
    </row>
    <row r="194" spans="1:24" ht="15.75" customHeight="1">
      <c r="B194" s="42"/>
      <c r="C194" s="81"/>
      <c r="D194" s="492"/>
      <c r="E194" s="492"/>
      <c r="F194" s="493"/>
    </row>
    <row r="195" spans="1:24" ht="15.75" customHeight="1">
      <c r="B195" s="27"/>
      <c r="C195" s="86"/>
      <c r="D195" s="492"/>
      <c r="E195" s="492"/>
      <c r="F195" s="494"/>
    </row>
    <row r="196" spans="1:24" ht="15.75" customHeight="1">
      <c r="B196" s="42"/>
      <c r="C196" s="81"/>
      <c r="D196" s="169"/>
      <c r="E196" s="81"/>
      <c r="F196" s="494"/>
    </row>
    <row r="197" spans="1:24" ht="15.75" customHeight="1">
      <c r="B197" s="25"/>
      <c r="C197" s="492"/>
      <c r="D197" s="492"/>
      <c r="E197" s="492"/>
      <c r="F197" s="494"/>
    </row>
    <row r="198" spans="1:24" ht="15.75" customHeight="1">
      <c r="B198" s="314"/>
      <c r="C198" s="86"/>
      <c r="D198" s="492"/>
      <c r="E198" s="492"/>
      <c r="F198" s="494"/>
    </row>
    <row r="199" spans="1:24" ht="15.75" customHeight="1">
      <c r="B199" s="463"/>
      <c r="C199" s="492"/>
      <c r="D199" s="492"/>
      <c r="E199" s="492"/>
      <c r="F199" s="494"/>
    </row>
    <row r="200" spans="1:24" ht="15.75" customHeight="1">
      <c r="B200" s="471"/>
      <c r="C200" s="471"/>
      <c r="D200" s="471"/>
      <c r="E200" s="468"/>
      <c r="F200" s="495"/>
      <c r="G200" s="469"/>
    </row>
    <row r="201" spans="1:24" ht="15.75" customHeight="1">
      <c r="B201" s="471"/>
      <c r="C201" s="471"/>
      <c r="D201" s="471"/>
      <c r="E201" s="463"/>
      <c r="F201" s="223"/>
    </row>
    <row r="202" spans="1:24" ht="15.75" customHeight="1">
      <c r="B202" s="471"/>
      <c r="C202" s="471"/>
      <c r="D202" s="471"/>
      <c r="E202" s="468"/>
      <c r="F202" s="223"/>
      <c r="G202" s="469"/>
    </row>
    <row r="203" spans="1:24" ht="15.75" customHeight="1">
      <c r="B203" s="471"/>
      <c r="C203" s="471"/>
      <c r="D203" s="471"/>
      <c r="E203" s="468"/>
      <c r="F203" s="223"/>
      <c r="G203" s="469"/>
    </row>
    <row r="204" spans="1:24" ht="15.75" customHeight="1">
      <c r="B204" s="471"/>
      <c r="C204" s="471"/>
      <c r="D204" s="471"/>
      <c r="E204" s="468"/>
      <c r="F204" s="223"/>
      <c r="G204" s="469"/>
    </row>
    <row r="205" spans="1:24" ht="15.75" customHeight="1">
      <c r="B205" s="471"/>
      <c r="C205" s="471"/>
      <c r="D205" s="471"/>
      <c r="E205" s="468"/>
      <c r="F205" s="496"/>
      <c r="G205" s="469"/>
    </row>
    <row r="206" spans="1:24" ht="15.75" customHeight="1">
      <c r="B206" s="478"/>
      <c r="C206" s="478"/>
      <c r="D206" s="478"/>
      <c r="E206" s="478"/>
      <c r="F206" s="497"/>
      <c r="G206" s="478"/>
    </row>
    <row r="207" spans="1:24" ht="15.75" customHeight="1">
      <c r="B207" s="498"/>
      <c r="C207" s="498"/>
      <c r="D207" s="498"/>
      <c r="E207" s="498"/>
      <c r="F207" s="498"/>
      <c r="G207" s="478"/>
    </row>
    <row r="208" spans="1:24" ht="15.75" customHeight="1">
      <c r="A208" s="50"/>
      <c r="B208" s="523" t="s">
        <v>1175</v>
      </c>
      <c r="C208" s="521"/>
      <c r="D208" s="521"/>
      <c r="E208" s="521"/>
      <c r="F208" s="514"/>
      <c r="G208" s="516"/>
      <c r="H208" s="511"/>
      <c r="I208" s="511"/>
      <c r="J208" s="516"/>
      <c r="K208" s="511"/>
      <c r="L208" s="511"/>
      <c r="M208" s="516"/>
      <c r="N208" s="511"/>
      <c r="O208" s="511"/>
      <c r="P208" s="516"/>
      <c r="Q208" s="511"/>
      <c r="R208" s="511"/>
      <c r="S208" s="516"/>
      <c r="T208" s="511"/>
      <c r="U208" s="511"/>
      <c r="V208" s="516"/>
      <c r="W208" s="511"/>
      <c r="X208" s="511"/>
    </row>
    <row r="209" spans="1:27" ht="15.75" customHeight="1">
      <c r="A209" s="499"/>
      <c r="B209" s="500"/>
      <c r="C209" s="500"/>
      <c r="D209" s="501"/>
      <c r="E209" s="501"/>
      <c r="F209" s="502"/>
    </row>
    <row r="210" spans="1:27" ht="15.75" customHeight="1">
      <c r="A210" s="499"/>
      <c r="B210" s="84"/>
      <c r="C210" s="84"/>
      <c r="D210" s="27"/>
      <c r="E210" s="27"/>
      <c r="F210" s="503"/>
    </row>
    <row r="211" spans="1:27" ht="15.75" customHeight="1">
      <c r="A211" s="499"/>
      <c r="B211" s="500"/>
      <c r="C211" s="500"/>
      <c r="D211" s="501"/>
      <c r="E211" s="501"/>
      <c r="F211" s="502"/>
    </row>
    <row r="212" spans="1:27" ht="15.75" customHeight="1">
      <c r="A212" s="499"/>
      <c r="B212" s="84"/>
      <c r="C212" s="84"/>
      <c r="D212" s="84"/>
      <c r="E212" s="84"/>
      <c r="F212" s="503"/>
    </row>
    <row r="213" spans="1:27" ht="15.75" customHeight="1">
      <c r="A213" s="499"/>
      <c r="B213" s="500"/>
      <c r="C213" s="500"/>
      <c r="D213" s="501"/>
      <c r="E213" s="500"/>
      <c r="F213" s="502"/>
    </row>
    <row r="214" spans="1:27" ht="15.75" customHeight="1">
      <c r="A214" s="504"/>
      <c r="B214" s="500"/>
      <c r="C214" s="500"/>
      <c r="D214" s="500"/>
      <c r="E214" s="500"/>
      <c r="F214" s="502"/>
    </row>
    <row r="215" spans="1:27" ht="15.75" customHeight="1">
      <c r="B215" s="505"/>
      <c r="C215" s="500"/>
      <c r="D215" s="500"/>
      <c r="E215" s="500"/>
      <c r="F215" s="502"/>
    </row>
    <row r="216" spans="1:27" ht="15.75" customHeight="1">
      <c r="A216" s="223"/>
      <c r="B216" s="500"/>
      <c r="C216" s="500"/>
      <c r="D216" s="506"/>
      <c r="E216" s="500"/>
      <c r="F216" s="502"/>
    </row>
    <row r="217" spans="1:27" ht="15.75" customHeight="1">
      <c r="A217" s="223"/>
      <c r="B217" s="84"/>
      <c r="C217" s="84"/>
      <c r="D217" s="309"/>
      <c r="E217" s="84"/>
      <c r="F217" s="72"/>
    </row>
    <row r="218" spans="1:27" ht="15.75" customHeight="1">
      <c r="B218" s="84"/>
      <c r="C218" s="84"/>
      <c r="D218" s="309"/>
      <c r="E218" s="84"/>
      <c r="F218" s="72"/>
    </row>
    <row r="219" spans="1:27" ht="15.75" customHeight="1">
      <c r="B219" s="500"/>
      <c r="C219" s="500"/>
      <c r="D219" s="309"/>
      <c r="E219" s="84"/>
      <c r="F219" s="72"/>
    </row>
    <row r="220" spans="1:27" ht="15.75" customHeight="1">
      <c r="B220" s="84"/>
      <c r="C220" s="84"/>
      <c r="D220" s="309"/>
      <c r="E220" s="84"/>
      <c r="F220" s="72"/>
    </row>
    <row r="221" spans="1:27" ht="15.75" customHeight="1">
      <c r="A221" s="168"/>
      <c r="B221" s="500"/>
      <c r="C221" s="500"/>
      <c r="D221" s="506"/>
      <c r="E221" s="500"/>
      <c r="F221" s="507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</row>
    <row r="222" spans="1:27" ht="15.75" customHeight="1">
      <c r="B222" s="26"/>
      <c r="C222" s="26"/>
      <c r="D222" s="26"/>
      <c r="E222" s="26"/>
      <c r="F222" s="93"/>
    </row>
    <row r="223" spans="1:27" ht="15.75" customHeight="1">
      <c r="B223" s="26"/>
      <c r="C223" s="26"/>
      <c r="D223" s="26"/>
      <c r="E223" s="26"/>
      <c r="F223" s="93"/>
    </row>
    <row r="224" spans="1:27" ht="15.75" customHeight="1">
      <c r="B224" s="26"/>
      <c r="C224" s="26"/>
      <c r="D224" s="26"/>
      <c r="E224" s="26"/>
      <c r="F224" s="93"/>
    </row>
    <row r="225" spans="2:6" ht="15.75" customHeight="1">
      <c r="B225" s="26"/>
      <c r="C225" s="26"/>
      <c r="D225" s="26"/>
      <c r="E225" s="26"/>
      <c r="F225" s="93"/>
    </row>
    <row r="226" spans="2:6" ht="15.75" customHeight="1">
      <c r="B226" s="26"/>
      <c r="C226" s="26"/>
      <c r="D226" s="26"/>
      <c r="E226" s="26"/>
      <c r="F226" s="93"/>
    </row>
    <row r="227" spans="2:6" ht="15.75" customHeight="1">
      <c r="B227" s="26"/>
      <c r="C227" s="26"/>
      <c r="D227" s="26"/>
      <c r="E227" s="26"/>
      <c r="F227" s="93"/>
    </row>
    <row r="228" spans="2:6" ht="15.75" customHeight="1">
      <c r="B228" s="26"/>
      <c r="C228" s="26"/>
      <c r="D228" s="26"/>
      <c r="E228" s="26"/>
      <c r="F228" s="93"/>
    </row>
    <row r="229" spans="2:6" ht="15.75" customHeight="1">
      <c r="B229" s="222"/>
      <c r="C229" s="508"/>
      <c r="D229" s="508"/>
      <c r="E229" s="508"/>
      <c r="F229" s="509"/>
    </row>
    <row r="230" spans="2:6" ht="15.75" customHeight="1">
      <c r="B230" s="222"/>
      <c r="C230" s="508"/>
      <c r="D230" s="508"/>
      <c r="E230" s="508"/>
      <c r="F230" s="509"/>
    </row>
    <row r="231" spans="2:6" ht="15.75" customHeight="1">
      <c r="B231" s="222"/>
      <c r="C231" s="222"/>
      <c r="D231" s="222"/>
      <c r="E231" s="222"/>
      <c r="F231" s="509"/>
    </row>
    <row r="232" spans="2:6" ht="15.75" customHeight="1">
      <c r="B232" s="222"/>
      <c r="C232" s="222"/>
      <c r="D232" s="222"/>
      <c r="E232" s="222"/>
      <c r="F232" s="509"/>
    </row>
    <row r="233" spans="2:6" ht="15.75" customHeight="1">
      <c r="F233" s="497"/>
    </row>
    <row r="234" spans="2:6" ht="15.75" customHeight="1">
      <c r="F234" s="497"/>
    </row>
    <row r="235" spans="2:6" ht="15.75" customHeight="1">
      <c r="F235" s="497"/>
    </row>
    <row r="236" spans="2:6" ht="15.75" customHeight="1">
      <c r="F236" s="497"/>
    </row>
    <row r="237" spans="2:6" ht="15.75" customHeight="1">
      <c r="F237" s="497"/>
    </row>
    <row r="238" spans="2:6" ht="15.75" customHeight="1">
      <c r="F238" s="497"/>
    </row>
    <row r="239" spans="2:6" ht="15.75" customHeight="1">
      <c r="F239" s="497"/>
    </row>
    <row r="240" spans="2:6" ht="15.75" customHeight="1">
      <c r="F240" s="497"/>
    </row>
    <row r="241" spans="6:6" ht="15.75" customHeight="1">
      <c r="F241" s="497"/>
    </row>
    <row r="242" spans="6:6" ht="15.75" customHeight="1">
      <c r="F242" s="497"/>
    </row>
    <row r="243" spans="6:6" ht="15.75" customHeight="1">
      <c r="F243" s="497"/>
    </row>
    <row r="244" spans="6:6" ht="15.75" customHeight="1">
      <c r="F244" s="497"/>
    </row>
    <row r="245" spans="6:6" ht="15.75" customHeight="1">
      <c r="F245" s="497"/>
    </row>
    <row r="246" spans="6:6" ht="15.75" customHeight="1">
      <c r="F246" s="497"/>
    </row>
    <row r="247" spans="6:6" ht="15.75" customHeight="1">
      <c r="F247" s="497"/>
    </row>
    <row r="248" spans="6:6" ht="15.75" customHeight="1">
      <c r="F248" s="497"/>
    </row>
    <row r="249" spans="6:6" ht="15.75" customHeight="1">
      <c r="F249" s="497"/>
    </row>
    <row r="250" spans="6:6" ht="15.75" customHeight="1">
      <c r="F250" s="497"/>
    </row>
    <row r="251" spans="6:6" ht="15.75" customHeight="1">
      <c r="F251" s="497"/>
    </row>
    <row r="252" spans="6:6" ht="15.75" customHeight="1">
      <c r="F252" s="497"/>
    </row>
    <row r="253" spans="6:6" ht="15.75" customHeight="1">
      <c r="F253" s="497"/>
    </row>
    <row r="254" spans="6:6" ht="15.75" customHeight="1">
      <c r="F254" s="497"/>
    </row>
    <row r="255" spans="6:6" ht="15.75" customHeight="1">
      <c r="F255" s="497"/>
    </row>
    <row r="256" spans="6:6" ht="15.75" customHeight="1">
      <c r="F256" s="497"/>
    </row>
    <row r="257" spans="6:6" ht="15.75" customHeight="1">
      <c r="F257" s="497"/>
    </row>
    <row r="258" spans="6:6" ht="15.75" customHeight="1">
      <c r="F258" s="497"/>
    </row>
    <row r="259" spans="6:6" ht="15.75" customHeight="1">
      <c r="F259" s="497"/>
    </row>
    <row r="260" spans="6:6" ht="15.75" customHeight="1">
      <c r="F260" s="497"/>
    </row>
    <row r="261" spans="6:6" ht="15.75" customHeight="1">
      <c r="F261" s="497"/>
    </row>
    <row r="262" spans="6:6" ht="15.75" customHeight="1">
      <c r="F262" s="497"/>
    </row>
    <row r="263" spans="6:6" ht="15.75" customHeight="1">
      <c r="F263" s="497"/>
    </row>
    <row r="264" spans="6:6" ht="15.75" customHeight="1">
      <c r="F264" s="497"/>
    </row>
    <row r="265" spans="6:6" ht="15.75" customHeight="1">
      <c r="F265" s="497"/>
    </row>
    <row r="266" spans="6:6" ht="15.75" customHeight="1">
      <c r="F266" s="497"/>
    </row>
    <row r="267" spans="6:6" ht="15.75" customHeight="1">
      <c r="F267" s="497"/>
    </row>
    <row r="268" spans="6:6" ht="15.75" customHeight="1">
      <c r="F268" s="497"/>
    </row>
    <row r="269" spans="6:6" ht="15.75" customHeight="1">
      <c r="F269" s="497"/>
    </row>
    <row r="270" spans="6:6" ht="15.75" customHeight="1">
      <c r="F270" s="497"/>
    </row>
    <row r="271" spans="6:6" ht="15.75" customHeight="1">
      <c r="F271" s="497"/>
    </row>
    <row r="272" spans="6:6" ht="15.75" customHeight="1">
      <c r="F272" s="497"/>
    </row>
    <row r="273" spans="6:6" ht="15.75" customHeight="1">
      <c r="F273" s="497"/>
    </row>
    <row r="274" spans="6:6" ht="15.75" customHeight="1">
      <c r="F274" s="497"/>
    </row>
    <row r="275" spans="6:6" ht="15.75" customHeight="1">
      <c r="F275" s="497"/>
    </row>
    <row r="276" spans="6:6" ht="15.75" customHeight="1">
      <c r="F276" s="497"/>
    </row>
    <row r="277" spans="6:6" ht="15.75" customHeight="1">
      <c r="F277" s="497"/>
    </row>
    <row r="278" spans="6:6" ht="15.75" customHeight="1">
      <c r="F278" s="497"/>
    </row>
    <row r="279" spans="6:6" ht="15.75" customHeight="1">
      <c r="F279" s="497"/>
    </row>
    <row r="280" spans="6:6" ht="15.75" customHeight="1">
      <c r="F280" s="497"/>
    </row>
    <row r="281" spans="6:6" ht="15.75" customHeight="1">
      <c r="F281" s="497"/>
    </row>
    <row r="282" spans="6:6" ht="15.75" customHeight="1">
      <c r="F282" s="497"/>
    </row>
    <row r="283" spans="6:6" ht="15.75" customHeight="1">
      <c r="F283" s="497"/>
    </row>
    <row r="284" spans="6:6" ht="15.75" customHeight="1">
      <c r="F284" s="497"/>
    </row>
    <row r="285" spans="6:6" ht="15.75" customHeight="1">
      <c r="F285" s="497"/>
    </row>
    <row r="286" spans="6:6" ht="15.75" customHeight="1">
      <c r="F286" s="497"/>
    </row>
    <row r="287" spans="6:6" ht="15.75" customHeight="1">
      <c r="F287" s="497"/>
    </row>
    <row r="288" spans="6:6" ht="15.75" customHeight="1">
      <c r="F288" s="497"/>
    </row>
    <row r="289" spans="6:6" ht="15.75" customHeight="1">
      <c r="F289" s="497"/>
    </row>
    <row r="290" spans="6:6" ht="15.75" customHeight="1">
      <c r="F290" s="497"/>
    </row>
    <row r="291" spans="6:6" ht="15.75" customHeight="1">
      <c r="F291" s="497"/>
    </row>
    <row r="292" spans="6:6" ht="15.75" customHeight="1">
      <c r="F292" s="497"/>
    </row>
    <row r="293" spans="6:6" ht="15.75" customHeight="1">
      <c r="F293" s="497"/>
    </row>
    <row r="294" spans="6:6" ht="15.75" customHeight="1">
      <c r="F294" s="497"/>
    </row>
    <row r="295" spans="6:6" ht="15.75" customHeight="1">
      <c r="F295" s="497"/>
    </row>
    <row r="296" spans="6:6" ht="15.75" customHeight="1">
      <c r="F296" s="497"/>
    </row>
    <row r="297" spans="6:6" ht="15.75" customHeight="1">
      <c r="F297" s="497"/>
    </row>
    <row r="298" spans="6:6" ht="15.75" customHeight="1">
      <c r="F298" s="497"/>
    </row>
    <row r="299" spans="6:6" ht="15.75" customHeight="1">
      <c r="F299" s="497"/>
    </row>
    <row r="300" spans="6:6" ht="15.75" customHeight="1">
      <c r="F300" s="497"/>
    </row>
    <row r="301" spans="6:6" ht="15.75" customHeight="1">
      <c r="F301" s="497"/>
    </row>
    <row r="302" spans="6:6" ht="15.75" customHeight="1">
      <c r="F302" s="497"/>
    </row>
    <row r="303" spans="6:6" ht="15.75" customHeight="1">
      <c r="F303" s="497"/>
    </row>
    <row r="304" spans="6:6" ht="15.75" customHeight="1">
      <c r="F304" s="497"/>
    </row>
    <row r="305" spans="6:6" ht="15.75" customHeight="1">
      <c r="F305" s="497"/>
    </row>
    <row r="306" spans="6:6" ht="15.75" customHeight="1">
      <c r="F306" s="497"/>
    </row>
    <row r="307" spans="6:6" ht="15.75" customHeight="1">
      <c r="F307" s="497"/>
    </row>
    <row r="308" spans="6:6" ht="15.75" customHeight="1">
      <c r="F308" s="497"/>
    </row>
    <row r="309" spans="6:6" ht="15.75" customHeight="1">
      <c r="F309" s="497"/>
    </row>
    <row r="310" spans="6:6" ht="15.75" customHeight="1">
      <c r="F310" s="497"/>
    </row>
    <row r="311" spans="6:6" ht="15.75" customHeight="1">
      <c r="F311" s="497"/>
    </row>
    <row r="312" spans="6:6" ht="15.75" customHeight="1">
      <c r="F312" s="497"/>
    </row>
    <row r="313" spans="6:6" ht="15.75" customHeight="1">
      <c r="F313" s="497"/>
    </row>
    <row r="314" spans="6:6" ht="15.75" customHeight="1">
      <c r="F314" s="497"/>
    </row>
    <row r="315" spans="6:6" ht="15.75" customHeight="1">
      <c r="F315" s="497"/>
    </row>
    <row r="316" spans="6:6" ht="15.75" customHeight="1">
      <c r="F316" s="497"/>
    </row>
    <row r="317" spans="6:6" ht="15.75" customHeight="1">
      <c r="F317" s="497"/>
    </row>
    <row r="318" spans="6:6" ht="15.75" customHeight="1">
      <c r="F318" s="497"/>
    </row>
    <row r="319" spans="6:6" ht="15.75" customHeight="1">
      <c r="F319" s="497"/>
    </row>
    <row r="320" spans="6:6" ht="15.75" customHeight="1">
      <c r="F320" s="497"/>
    </row>
    <row r="321" spans="6:6" ht="15.75" customHeight="1">
      <c r="F321" s="497"/>
    </row>
    <row r="322" spans="6:6" ht="15.75" customHeight="1">
      <c r="F322" s="497"/>
    </row>
    <row r="323" spans="6:6" ht="15.75" customHeight="1">
      <c r="F323" s="497"/>
    </row>
    <row r="324" spans="6:6" ht="15.75" customHeight="1">
      <c r="F324" s="497"/>
    </row>
    <row r="325" spans="6:6" ht="15.75" customHeight="1">
      <c r="F325" s="497"/>
    </row>
    <row r="326" spans="6:6" ht="15.75" customHeight="1">
      <c r="F326" s="497"/>
    </row>
    <row r="327" spans="6:6" ht="15.75" customHeight="1">
      <c r="F327" s="497"/>
    </row>
    <row r="328" spans="6:6" ht="15.75" customHeight="1">
      <c r="F328" s="497"/>
    </row>
    <row r="329" spans="6:6" ht="15.75" customHeight="1">
      <c r="F329" s="497"/>
    </row>
    <row r="330" spans="6:6" ht="15.75" customHeight="1">
      <c r="F330" s="497"/>
    </row>
    <row r="331" spans="6:6" ht="15.75" customHeight="1">
      <c r="F331" s="497"/>
    </row>
    <row r="332" spans="6:6" ht="15.75" customHeight="1">
      <c r="F332" s="497"/>
    </row>
    <row r="333" spans="6:6" ht="15.75" customHeight="1">
      <c r="F333" s="497"/>
    </row>
    <row r="334" spans="6:6" ht="15.75" customHeight="1">
      <c r="F334" s="497"/>
    </row>
    <row r="335" spans="6:6" ht="15.75" customHeight="1">
      <c r="F335" s="497"/>
    </row>
    <row r="336" spans="6:6" ht="15.75" customHeight="1">
      <c r="F336" s="497"/>
    </row>
    <row r="337" spans="6:6" ht="15.75" customHeight="1">
      <c r="F337" s="497"/>
    </row>
    <row r="338" spans="6:6" ht="15.75" customHeight="1">
      <c r="F338" s="497"/>
    </row>
    <row r="339" spans="6:6" ht="15.75" customHeight="1">
      <c r="F339" s="497"/>
    </row>
    <row r="340" spans="6:6" ht="15.75" customHeight="1">
      <c r="F340" s="497"/>
    </row>
    <row r="341" spans="6:6" ht="15.75" customHeight="1">
      <c r="F341" s="497"/>
    </row>
    <row r="342" spans="6:6" ht="15.75" customHeight="1">
      <c r="F342" s="497"/>
    </row>
    <row r="343" spans="6:6" ht="15.75" customHeight="1">
      <c r="F343" s="497"/>
    </row>
    <row r="344" spans="6:6" ht="15.75" customHeight="1">
      <c r="F344" s="497"/>
    </row>
    <row r="345" spans="6:6" ht="15.75" customHeight="1">
      <c r="F345" s="497"/>
    </row>
    <row r="346" spans="6:6" ht="15.75" customHeight="1">
      <c r="F346" s="497"/>
    </row>
    <row r="347" spans="6:6" ht="15.75" customHeight="1">
      <c r="F347" s="497"/>
    </row>
    <row r="348" spans="6:6" ht="15.75" customHeight="1">
      <c r="F348" s="497"/>
    </row>
    <row r="349" spans="6:6" ht="15.75" customHeight="1">
      <c r="F349" s="497"/>
    </row>
    <row r="350" spans="6:6" ht="15.75" customHeight="1">
      <c r="F350" s="497"/>
    </row>
    <row r="351" spans="6:6" ht="15.75" customHeight="1">
      <c r="F351" s="497"/>
    </row>
    <row r="352" spans="6:6" ht="15.75" customHeight="1">
      <c r="F352" s="497"/>
    </row>
    <row r="353" spans="6:6" ht="15.75" customHeight="1">
      <c r="F353" s="497"/>
    </row>
    <row r="354" spans="6:6" ht="15.75" customHeight="1">
      <c r="F354" s="497"/>
    </row>
    <row r="355" spans="6:6" ht="15.75" customHeight="1">
      <c r="F355" s="497"/>
    </row>
    <row r="356" spans="6:6" ht="15.75" customHeight="1">
      <c r="F356" s="497"/>
    </row>
    <row r="357" spans="6:6" ht="15.75" customHeight="1">
      <c r="F357" s="497"/>
    </row>
    <row r="358" spans="6:6" ht="15.75" customHeight="1">
      <c r="F358" s="497"/>
    </row>
    <row r="359" spans="6:6" ht="15.75" customHeight="1">
      <c r="F359" s="497"/>
    </row>
    <row r="360" spans="6:6" ht="15.75" customHeight="1">
      <c r="F360" s="497"/>
    </row>
    <row r="361" spans="6:6" ht="15.75" customHeight="1">
      <c r="F361" s="497"/>
    </row>
    <row r="362" spans="6:6" ht="15.75" customHeight="1">
      <c r="F362" s="497"/>
    </row>
    <row r="363" spans="6:6" ht="15.75" customHeight="1">
      <c r="F363" s="497"/>
    </row>
    <row r="364" spans="6:6" ht="15.75" customHeight="1">
      <c r="F364" s="497"/>
    </row>
    <row r="365" spans="6:6" ht="15.75" customHeight="1">
      <c r="F365" s="497"/>
    </row>
    <row r="366" spans="6:6" ht="15.75" customHeight="1">
      <c r="F366" s="497"/>
    </row>
    <row r="367" spans="6:6" ht="15.75" customHeight="1">
      <c r="F367" s="497"/>
    </row>
    <row r="368" spans="6:6" ht="15.75" customHeight="1">
      <c r="F368" s="497"/>
    </row>
    <row r="369" spans="6:6" ht="15.75" customHeight="1">
      <c r="F369" s="497"/>
    </row>
    <row r="370" spans="6:6" ht="15.75" customHeight="1">
      <c r="F370" s="497"/>
    </row>
    <row r="371" spans="6:6" ht="15.75" customHeight="1">
      <c r="F371" s="497"/>
    </row>
    <row r="372" spans="6:6" ht="15.75" customHeight="1">
      <c r="F372" s="497"/>
    </row>
    <row r="373" spans="6:6" ht="15.75" customHeight="1">
      <c r="F373" s="497"/>
    </row>
    <row r="374" spans="6:6" ht="15.75" customHeight="1">
      <c r="F374" s="497"/>
    </row>
    <row r="375" spans="6:6" ht="15.75" customHeight="1">
      <c r="F375" s="497"/>
    </row>
    <row r="376" spans="6:6" ht="15.75" customHeight="1">
      <c r="F376" s="497"/>
    </row>
    <row r="377" spans="6:6" ht="15.75" customHeight="1">
      <c r="F377" s="497"/>
    </row>
    <row r="378" spans="6:6" ht="15.75" customHeight="1">
      <c r="F378" s="497"/>
    </row>
    <row r="379" spans="6:6" ht="15.75" customHeight="1">
      <c r="F379" s="497"/>
    </row>
    <row r="380" spans="6:6" ht="15.75" customHeight="1">
      <c r="F380" s="497"/>
    </row>
    <row r="381" spans="6:6" ht="15.75" customHeight="1">
      <c r="F381" s="497"/>
    </row>
    <row r="382" spans="6:6" ht="15.75" customHeight="1">
      <c r="F382" s="497"/>
    </row>
    <row r="383" spans="6:6" ht="15.75" customHeight="1">
      <c r="F383" s="497"/>
    </row>
    <row r="384" spans="6:6" ht="15.75" customHeight="1">
      <c r="F384" s="497"/>
    </row>
    <row r="385" spans="6:6" ht="15.75" customHeight="1">
      <c r="F385" s="497"/>
    </row>
    <row r="386" spans="6:6" ht="15.75" customHeight="1">
      <c r="F386" s="497"/>
    </row>
    <row r="387" spans="6:6" ht="15.75" customHeight="1">
      <c r="F387" s="497"/>
    </row>
    <row r="388" spans="6:6" ht="15.75" customHeight="1">
      <c r="F388" s="497"/>
    </row>
    <row r="389" spans="6:6" ht="15.75" customHeight="1">
      <c r="F389" s="497"/>
    </row>
    <row r="390" spans="6:6" ht="15.75" customHeight="1">
      <c r="F390" s="497"/>
    </row>
    <row r="391" spans="6:6" ht="15.75" customHeight="1">
      <c r="F391" s="497"/>
    </row>
    <row r="392" spans="6:6" ht="15.75" customHeight="1">
      <c r="F392" s="497"/>
    </row>
    <row r="393" spans="6:6" ht="15.75" customHeight="1">
      <c r="F393" s="497"/>
    </row>
    <row r="394" spans="6:6" ht="15.75" customHeight="1">
      <c r="F394" s="497"/>
    </row>
    <row r="395" spans="6:6" ht="15.75" customHeight="1">
      <c r="F395" s="497"/>
    </row>
    <row r="396" spans="6:6" ht="15.75" customHeight="1">
      <c r="F396" s="497"/>
    </row>
    <row r="397" spans="6:6" ht="15.75" customHeight="1">
      <c r="F397" s="497"/>
    </row>
    <row r="398" spans="6:6" ht="15.75" customHeight="1">
      <c r="F398" s="497"/>
    </row>
    <row r="399" spans="6:6" ht="15.75" customHeight="1">
      <c r="F399" s="497"/>
    </row>
    <row r="400" spans="6:6" ht="15.75" customHeight="1">
      <c r="F400" s="497"/>
    </row>
    <row r="401" spans="6:6" ht="15.75" customHeight="1">
      <c r="F401" s="497"/>
    </row>
    <row r="402" spans="6:6" ht="15.75" customHeight="1">
      <c r="F402" s="497"/>
    </row>
    <row r="403" spans="6:6" ht="15.75" customHeight="1">
      <c r="F403" s="497"/>
    </row>
    <row r="404" spans="6:6" ht="15.75" customHeight="1">
      <c r="F404" s="497"/>
    </row>
    <row r="405" spans="6:6" ht="15.75" customHeight="1">
      <c r="F405" s="497"/>
    </row>
    <row r="406" spans="6:6" ht="15.75" customHeight="1">
      <c r="F406" s="497"/>
    </row>
    <row r="407" spans="6:6" ht="15.75" customHeight="1">
      <c r="F407" s="497"/>
    </row>
    <row r="408" spans="6:6" ht="15.75" customHeight="1">
      <c r="F408" s="497"/>
    </row>
    <row r="409" spans="6:6" ht="15.75" customHeight="1">
      <c r="F409" s="497"/>
    </row>
    <row r="410" spans="6:6" ht="15.75" customHeight="1">
      <c r="F410" s="497"/>
    </row>
    <row r="411" spans="6:6" ht="15.75" customHeight="1">
      <c r="F411" s="497"/>
    </row>
    <row r="412" spans="6:6" ht="15.75" customHeight="1">
      <c r="F412" s="497"/>
    </row>
    <row r="413" spans="6:6" ht="15.75" customHeight="1">
      <c r="F413" s="497"/>
    </row>
    <row r="414" spans="6:6" ht="15.75" customHeight="1">
      <c r="F414" s="497"/>
    </row>
    <row r="415" spans="6:6" ht="15.75" customHeight="1">
      <c r="F415" s="497"/>
    </row>
    <row r="416" spans="6:6" ht="15.75" customHeight="1">
      <c r="F416" s="497"/>
    </row>
    <row r="417" spans="6:6" ht="15.75" customHeight="1">
      <c r="F417" s="497"/>
    </row>
    <row r="418" spans="6:6" ht="15.75" customHeight="1">
      <c r="F418" s="497"/>
    </row>
    <row r="419" spans="6:6" ht="15.75" customHeight="1">
      <c r="F419" s="497"/>
    </row>
    <row r="420" spans="6:6" ht="15.75" customHeight="1">
      <c r="F420" s="497"/>
    </row>
    <row r="421" spans="6:6" ht="15.75" customHeight="1">
      <c r="F421" s="497"/>
    </row>
    <row r="422" spans="6:6" ht="15.75" customHeight="1">
      <c r="F422" s="497"/>
    </row>
    <row r="423" spans="6:6" ht="15.75" customHeight="1">
      <c r="F423" s="497"/>
    </row>
    <row r="424" spans="6:6" ht="15.75" customHeight="1">
      <c r="F424" s="497"/>
    </row>
    <row r="425" spans="6:6" ht="15.75" customHeight="1">
      <c r="F425" s="497"/>
    </row>
    <row r="426" spans="6:6" ht="15.75" customHeight="1">
      <c r="F426" s="497"/>
    </row>
    <row r="427" spans="6:6" ht="15.75" customHeight="1">
      <c r="F427" s="497"/>
    </row>
    <row r="428" spans="6:6" ht="15.75" customHeight="1">
      <c r="F428" s="497"/>
    </row>
    <row r="429" spans="6:6" ht="15.75" customHeight="1">
      <c r="F429" s="497"/>
    </row>
    <row r="430" spans="6:6" ht="15.75" customHeight="1">
      <c r="F430" s="497"/>
    </row>
    <row r="431" spans="6:6" ht="15.75" customHeight="1">
      <c r="F431" s="497"/>
    </row>
    <row r="432" spans="6:6" ht="15.75" customHeight="1">
      <c r="F432" s="497"/>
    </row>
    <row r="433" spans="6:6" ht="15.75" customHeight="1">
      <c r="F433" s="497"/>
    </row>
    <row r="434" spans="6:6" ht="15.75" customHeight="1">
      <c r="F434" s="497"/>
    </row>
    <row r="435" spans="6:6" ht="15.75" customHeight="1">
      <c r="F435" s="497"/>
    </row>
    <row r="436" spans="6:6" ht="15.75" customHeight="1">
      <c r="F436" s="497"/>
    </row>
    <row r="437" spans="6:6" ht="15.75" customHeight="1">
      <c r="F437" s="497"/>
    </row>
    <row r="438" spans="6:6" ht="15.75" customHeight="1">
      <c r="F438" s="497"/>
    </row>
    <row r="439" spans="6:6" ht="15.75" customHeight="1">
      <c r="F439" s="497"/>
    </row>
    <row r="440" spans="6:6" ht="15.75" customHeight="1">
      <c r="F440" s="497"/>
    </row>
    <row r="441" spans="6:6" ht="15.75" customHeight="1">
      <c r="F441" s="497"/>
    </row>
    <row r="442" spans="6:6" ht="15.75" customHeight="1">
      <c r="F442" s="497"/>
    </row>
    <row r="443" spans="6:6" ht="15.75" customHeight="1">
      <c r="F443" s="497"/>
    </row>
    <row r="444" spans="6:6" ht="15.75" customHeight="1">
      <c r="F444" s="497"/>
    </row>
    <row r="445" spans="6:6" ht="15.75" customHeight="1">
      <c r="F445" s="497"/>
    </row>
    <row r="446" spans="6:6" ht="15.75" customHeight="1">
      <c r="F446" s="497"/>
    </row>
    <row r="447" spans="6:6" ht="15.75" customHeight="1">
      <c r="F447" s="497"/>
    </row>
    <row r="448" spans="6:6" ht="15.75" customHeight="1">
      <c r="F448" s="497"/>
    </row>
    <row r="449" spans="6:6" ht="15.75" customHeight="1">
      <c r="F449" s="497"/>
    </row>
    <row r="450" spans="6:6" ht="15.75" customHeight="1">
      <c r="F450" s="497"/>
    </row>
    <row r="451" spans="6:6" ht="15.75" customHeight="1">
      <c r="F451" s="497"/>
    </row>
    <row r="452" spans="6:6" ht="15.75" customHeight="1">
      <c r="F452" s="497"/>
    </row>
    <row r="453" spans="6:6" ht="15.75" customHeight="1">
      <c r="F453" s="497"/>
    </row>
    <row r="454" spans="6:6" ht="15.75" customHeight="1">
      <c r="F454" s="497"/>
    </row>
    <row r="455" spans="6:6" ht="15.75" customHeight="1">
      <c r="F455" s="497"/>
    </row>
    <row r="456" spans="6:6" ht="15.75" customHeight="1">
      <c r="F456" s="497"/>
    </row>
    <row r="457" spans="6:6" ht="15.75" customHeight="1">
      <c r="F457" s="497"/>
    </row>
    <row r="458" spans="6:6" ht="15.75" customHeight="1">
      <c r="F458" s="497"/>
    </row>
    <row r="459" spans="6:6" ht="15.75" customHeight="1">
      <c r="F459" s="497"/>
    </row>
    <row r="460" spans="6:6" ht="15.75" customHeight="1">
      <c r="F460" s="497"/>
    </row>
    <row r="461" spans="6:6" ht="15.75" customHeight="1">
      <c r="F461" s="497"/>
    </row>
    <row r="462" spans="6:6" ht="15.75" customHeight="1">
      <c r="F462" s="497"/>
    </row>
    <row r="463" spans="6:6" ht="15.75" customHeight="1">
      <c r="F463" s="497"/>
    </row>
    <row r="464" spans="6:6" ht="15.75" customHeight="1">
      <c r="F464" s="497"/>
    </row>
    <row r="465" spans="6:6" ht="15.75" customHeight="1">
      <c r="F465" s="497"/>
    </row>
    <row r="466" spans="6:6" ht="15.75" customHeight="1">
      <c r="F466" s="497"/>
    </row>
    <row r="467" spans="6:6" ht="15.75" customHeight="1">
      <c r="F467" s="497"/>
    </row>
    <row r="468" spans="6:6" ht="15.75" customHeight="1">
      <c r="F468" s="497"/>
    </row>
    <row r="469" spans="6:6" ht="15.75" customHeight="1">
      <c r="F469" s="497"/>
    </row>
    <row r="470" spans="6:6" ht="15.75" customHeight="1">
      <c r="F470" s="497"/>
    </row>
    <row r="471" spans="6:6" ht="15.75" customHeight="1">
      <c r="F471" s="497"/>
    </row>
    <row r="472" spans="6:6" ht="15.75" customHeight="1">
      <c r="F472" s="497"/>
    </row>
    <row r="473" spans="6:6" ht="15.75" customHeight="1">
      <c r="F473" s="497"/>
    </row>
    <row r="474" spans="6:6" ht="15.75" customHeight="1">
      <c r="F474" s="497"/>
    </row>
    <row r="475" spans="6:6" ht="15.75" customHeight="1">
      <c r="F475" s="497"/>
    </row>
    <row r="476" spans="6:6" ht="15.75" customHeight="1">
      <c r="F476" s="497"/>
    </row>
    <row r="477" spans="6:6" ht="15.75" customHeight="1">
      <c r="F477" s="497"/>
    </row>
    <row r="478" spans="6:6" ht="15.75" customHeight="1">
      <c r="F478" s="497"/>
    </row>
    <row r="479" spans="6:6" ht="15.75" customHeight="1">
      <c r="F479" s="497"/>
    </row>
    <row r="480" spans="6:6" ht="15.75" customHeight="1">
      <c r="F480" s="497"/>
    </row>
    <row r="481" spans="6:6" ht="15.75" customHeight="1">
      <c r="F481" s="497"/>
    </row>
    <row r="482" spans="6:6" ht="15.75" customHeight="1">
      <c r="F482" s="497"/>
    </row>
    <row r="483" spans="6:6" ht="15.75" customHeight="1">
      <c r="F483" s="497"/>
    </row>
    <row r="484" spans="6:6" ht="15.75" customHeight="1">
      <c r="F484" s="497"/>
    </row>
    <row r="485" spans="6:6" ht="15.75" customHeight="1">
      <c r="F485" s="497"/>
    </row>
    <row r="486" spans="6:6" ht="15.75" customHeight="1">
      <c r="F486" s="497"/>
    </row>
    <row r="487" spans="6:6" ht="15.75" customHeight="1">
      <c r="F487" s="497"/>
    </row>
    <row r="488" spans="6:6" ht="15.75" customHeight="1">
      <c r="F488" s="497"/>
    </row>
    <row r="489" spans="6:6" ht="15.75" customHeight="1">
      <c r="F489" s="497"/>
    </row>
    <row r="490" spans="6:6" ht="15.75" customHeight="1">
      <c r="F490" s="497"/>
    </row>
    <row r="491" spans="6:6" ht="15.75" customHeight="1">
      <c r="F491" s="497"/>
    </row>
    <row r="492" spans="6:6" ht="15.75" customHeight="1">
      <c r="F492" s="497"/>
    </row>
    <row r="493" spans="6:6" ht="15.75" customHeight="1">
      <c r="F493" s="497"/>
    </row>
    <row r="494" spans="6:6" ht="15.75" customHeight="1">
      <c r="F494" s="497"/>
    </row>
    <row r="495" spans="6:6" ht="15.75" customHeight="1">
      <c r="F495" s="497"/>
    </row>
    <row r="496" spans="6:6" ht="15.75" customHeight="1">
      <c r="F496" s="497"/>
    </row>
    <row r="497" spans="6:6" ht="15.75" customHeight="1">
      <c r="F497" s="497"/>
    </row>
    <row r="498" spans="6:6" ht="15.75" customHeight="1">
      <c r="F498" s="497"/>
    </row>
    <row r="499" spans="6:6" ht="15.75" customHeight="1">
      <c r="F499" s="497"/>
    </row>
    <row r="500" spans="6:6" ht="15.75" customHeight="1">
      <c r="F500" s="497"/>
    </row>
    <row r="501" spans="6:6" ht="15.75" customHeight="1">
      <c r="F501" s="497"/>
    </row>
    <row r="502" spans="6:6" ht="15.75" customHeight="1">
      <c r="F502" s="497"/>
    </row>
    <row r="503" spans="6:6" ht="15.75" customHeight="1">
      <c r="F503" s="497"/>
    </row>
    <row r="504" spans="6:6" ht="15.75" customHeight="1">
      <c r="F504" s="497"/>
    </row>
    <row r="505" spans="6:6" ht="15.75" customHeight="1">
      <c r="F505" s="497"/>
    </row>
    <row r="506" spans="6:6" ht="15.75" customHeight="1">
      <c r="F506" s="497"/>
    </row>
    <row r="507" spans="6:6" ht="15.75" customHeight="1">
      <c r="F507" s="497"/>
    </row>
    <row r="508" spans="6:6" ht="15.75" customHeight="1">
      <c r="F508" s="497"/>
    </row>
    <row r="509" spans="6:6" ht="15.75" customHeight="1">
      <c r="F509" s="497"/>
    </row>
    <row r="510" spans="6:6" ht="15.75" customHeight="1">
      <c r="F510" s="497"/>
    </row>
    <row r="511" spans="6:6" ht="15.75" customHeight="1">
      <c r="F511" s="497"/>
    </row>
    <row r="512" spans="6:6" ht="15.75" customHeight="1">
      <c r="F512" s="497"/>
    </row>
    <row r="513" spans="6:6" ht="15.75" customHeight="1">
      <c r="F513" s="497"/>
    </row>
    <row r="514" spans="6:6" ht="15.75" customHeight="1">
      <c r="F514" s="497"/>
    </row>
    <row r="515" spans="6:6" ht="15.75" customHeight="1">
      <c r="F515" s="497"/>
    </row>
    <row r="516" spans="6:6" ht="15.75" customHeight="1">
      <c r="F516" s="497"/>
    </row>
    <row r="517" spans="6:6" ht="15.75" customHeight="1">
      <c r="F517" s="497"/>
    </row>
    <row r="518" spans="6:6" ht="15.75" customHeight="1">
      <c r="F518" s="497"/>
    </row>
    <row r="519" spans="6:6" ht="15.75" customHeight="1">
      <c r="F519" s="497"/>
    </row>
    <row r="520" spans="6:6" ht="15.75" customHeight="1">
      <c r="F520" s="497"/>
    </row>
    <row r="521" spans="6:6" ht="15.75" customHeight="1">
      <c r="F521" s="497"/>
    </row>
    <row r="522" spans="6:6" ht="15.75" customHeight="1">
      <c r="F522" s="497"/>
    </row>
    <row r="523" spans="6:6" ht="15.75" customHeight="1">
      <c r="F523" s="497"/>
    </row>
    <row r="524" spans="6:6" ht="15.75" customHeight="1">
      <c r="F524" s="497"/>
    </row>
    <row r="525" spans="6:6" ht="15.75" customHeight="1">
      <c r="F525" s="497"/>
    </row>
    <row r="526" spans="6:6" ht="15.75" customHeight="1">
      <c r="F526" s="497"/>
    </row>
    <row r="527" spans="6:6" ht="15.75" customHeight="1">
      <c r="F527" s="497"/>
    </row>
    <row r="528" spans="6:6" ht="15.75" customHeight="1">
      <c r="F528" s="497"/>
    </row>
    <row r="529" spans="6:6" ht="15.75" customHeight="1">
      <c r="F529" s="497"/>
    </row>
    <row r="530" spans="6:6" ht="15.75" customHeight="1">
      <c r="F530" s="497"/>
    </row>
    <row r="531" spans="6:6" ht="15.75" customHeight="1">
      <c r="F531" s="497"/>
    </row>
    <row r="532" spans="6:6" ht="15.75" customHeight="1">
      <c r="F532" s="497"/>
    </row>
    <row r="533" spans="6:6" ht="15.75" customHeight="1">
      <c r="F533" s="497"/>
    </row>
    <row r="534" spans="6:6" ht="15.75" customHeight="1">
      <c r="F534" s="497"/>
    </row>
    <row r="535" spans="6:6" ht="15.75" customHeight="1">
      <c r="F535" s="497"/>
    </row>
    <row r="536" spans="6:6" ht="15.75" customHeight="1">
      <c r="F536" s="497"/>
    </row>
    <row r="537" spans="6:6" ht="15.75" customHeight="1">
      <c r="F537" s="497"/>
    </row>
    <row r="538" spans="6:6" ht="15.75" customHeight="1">
      <c r="F538" s="497"/>
    </row>
    <row r="539" spans="6:6" ht="15.75" customHeight="1">
      <c r="F539" s="497"/>
    </row>
    <row r="540" spans="6:6" ht="15.75" customHeight="1">
      <c r="F540" s="497"/>
    </row>
    <row r="541" spans="6:6" ht="15.75" customHeight="1">
      <c r="F541" s="497"/>
    </row>
    <row r="542" spans="6:6" ht="15.75" customHeight="1">
      <c r="F542" s="497"/>
    </row>
    <row r="543" spans="6:6" ht="15.75" customHeight="1">
      <c r="F543" s="497"/>
    </row>
    <row r="544" spans="6:6" ht="15.75" customHeight="1">
      <c r="F544" s="497"/>
    </row>
    <row r="545" spans="6:6" ht="15.75" customHeight="1">
      <c r="F545" s="497"/>
    </row>
    <row r="546" spans="6:6" ht="15.75" customHeight="1">
      <c r="F546" s="497"/>
    </row>
    <row r="547" spans="6:6" ht="15.75" customHeight="1">
      <c r="F547" s="497"/>
    </row>
    <row r="548" spans="6:6" ht="15.75" customHeight="1">
      <c r="F548" s="497"/>
    </row>
    <row r="549" spans="6:6" ht="15.75" customHeight="1">
      <c r="F549" s="497"/>
    </row>
    <row r="550" spans="6:6" ht="15.75" customHeight="1">
      <c r="F550" s="497"/>
    </row>
    <row r="551" spans="6:6" ht="15.75" customHeight="1">
      <c r="F551" s="497"/>
    </row>
    <row r="552" spans="6:6" ht="15.75" customHeight="1">
      <c r="F552" s="497"/>
    </row>
    <row r="553" spans="6:6" ht="15.75" customHeight="1">
      <c r="F553" s="497"/>
    </row>
    <row r="554" spans="6:6" ht="15.75" customHeight="1">
      <c r="F554" s="497"/>
    </row>
    <row r="555" spans="6:6" ht="15.75" customHeight="1">
      <c r="F555" s="497"/>
    </row>
    <row r="556" spans="6:6" ht="15.75" customHeight="1">
      <c r="F556" s="497"/>
    </row>
    <row r="557" spans="6:6" ht="15.75" customHeight="1">
      <c r="F557" s="497"/>
    </row>
    <row r="558" spans="6:6" ht="15.75" customHeight="1">
      <c r="F558" s="497"/>
    </row>
    <row r="559" spans="6:6" ht="15.75" customHeight="1">
      <c r="F559" s="497"/>
    </row>
    <row r="560" spans="6:6" ht="15.75" customHeight="1">
      <c r="F560" s="497"/>
    </row>
    <row r="561" spans="6:6" ht="15.75" customHeight="1">
      <c r="F561" s="497"/>
    </row>
    <row r="562" spans="6:6" ht="15.75" customHeight="1">
      <c r="F562" s="497"/>
    </row>
    <row r="563" spans="6:6" ht="15.75" customHeight="1">
      <c r="F563" s="497"/>
    </row>
    <row r="564" spans="6:6" ht="15.75" customHeight="1">
      <c r="F564" s="497"/>
    </row>
    <row r="565" spans="6:6" ht="15.75" customHeight="1">
      <c r="F565" s="497"/>
    </row>
    <row r="566" spans="6:6" ht="15.75" customHeight="1">
      <c r="F566" s="497"/>
    </row>
    <row r="567" spans="6:6" ht="15.75" customHeight="1">
      <c r="F567" s="497"/>
    </row>
    <row r="568" spans="6:6" ht="15.75" customHeight="1">
      <c r="F568" s="497"/>
    </row>
    <row r="569" spans="6:6" ht="15.75" customHeight="1">
      <c r="F569" s="497"/>
    </row>
    <row r="570" spans="6:6" ht="15.75" customHeight="1">
      <c r="F570" s="497"/>
    </row>
    <row r="571" spans="6:6" ht="15.75" customHeight="1">
      <c r="F571" s="497"/>
    </row>
    <row r="572" spans="6:6" ht="15.75" customHeight="1">
      <c r="F572" s="497"/>
    </row>
    <row r="573" spans="6:6" ht="15.75" customHeight="1">
      <c r="F573" s="497"/>
    </row>
    <row r="574" spans="6:6" ht="15.75" customHeight="1">
      <c r="F574" s="497"/>
    </row>
    <row r="575" spans="6:6" ht="15.75" customHeight="1">
      <c r="F575" s="497"/>
    </row>
    <row r="576" spans="6:6" ht="15.75" customHeight="1">
      <c r="F576" s="497"/>
    </row>
    <row r="577" spans="6:6" ht="15.75" customHeight="1">
      <c r="F577" s="497"/>
    </row>
    <row r="578" spans="6:6" ht="15.75" customHeight="1">
      <c r="F578" s="497"/>
    </row>
    <row r="579" spans="6:6" ht="15.75" customHeight="1">
      <c r="F579" s="497"/>
    </row>
    <row r="580" spans="6:6" ht="15.75" customHeight="1">
      <c r="F580" s="497"/>
    </row>
    <row r="581" spans="6:6" ht="15.75" customHeight="1">
      <c r="F581" s="497"/>
    </row>
    <row r="582" spans="6:6" ht="15.75" customHeight="1">
      <c r="F582" s="497"/>
    </row>
    <row r="583" spans="6:6" ht="15.75" customHeight="1">
      <c r="F583" s="497"/>
    </row>
    <row r="584" spans="6:6" ht="15.75" customHeight="1">
      <c r="F584" s="497"/>
    </row>
    <row r="585" spans="6:6" ht="15.75" customHeight="1">
      <c r="F585" s="497"/>
    </row>
    <row r="586" spans="6:6" ht="15.75" customHeight="1">
      <c r="F586" s="497"/>
    </row>
    <row r="587" spans="6:6" ht="15.75" customHeight="1">
      <c r="F587" s="497"/>
    </row>
    <row r="588" spans="6:6" ht="15.75" customHeight="1">
      <c r="F588" s="497"/>
    </row>
    <row r="589" spans="6:6" ht="15.75" customHeight="1">
      <c r="F589" s="497"/>
    </row>
    <row r="590" spans="6:6" ht="15.75" customHeight="1">
      <c r="F590" s="497"/>
    </row>
    <row r="591" spans="6:6" ht="15.75" customHeight="1">
      <c r="F591" s="497"/>
    </row>
    <row r="592" spans="6:6" ht="15.75" customHeight="1">
      <c r="F592" s="497"/>
    </row>
    <row r="593" spans="6:6" ht="15.75" customHeight="1">
      <c r="F593" s="497"/>
    </row>
    <row r="594" spans="6:6" ht="15.75" customHeight="1">
      <c r="F594" s="497"/>
    </row>
    <row r="595" spans="6:6" ht="15.75" customHeight="1">
      <c r="F595" s="497"/>
    </row>
    <row r="596" spans="6:6" ht="15.75" customHeight="1">
      <c r="F596" s="497"/>
    </row>
    <row r="597" spans="6:6" ht="15.75" customHeight="1">
      <c r="F597" s="497"/>
    </row>
    <row r="598" spans="6:6" ht="15.75" customHeight="1">
      <c r="F598" s="497"/>
    </row>
    <row r="599" spans="6:6" ht="15.75" customHeight="1">
      <c r="F599" s="497"/>
    </row>
    <row r="600" spans="6:6" ht="15.75" customHeight="1">
      <c r="F600" s="497"/>
    </row>
    <row r="601" spans="6:6" ht="15.75" customHeight="1">
      <c r="F601" s="497"/>
    </row>
    <row r="602" spans="6:6" ht="15.75" customHeight="1">
      <c r="F602" s="497"/>
    </row>
    <row r="603" spans="6:6" ht="15.75" customHeight="1">
      <c r="F603" s="497"/>
    </row>
    <row r="604" spans="6:6" ht="15.75" customHeight="1">
      <c r="F604" s="497"/>
    </row>
    <row r="605" spans="6:6" ht="15.75" customHeight="1">
      <c r="F605" s="497"/>
    </row>
    <row r="606" spans="6:6" ht="15.75" customHeight="1">
      <c r="F606" s="497"/>
    </row>
    <row r="607" spans="6:6" ht="15.75" customHeight="1">
      <c r="F607" s="497"/>
    </row>
    <row r="608" spans="6:6" ht="15.75" customHeight="1">
      <c r="F608" s="497"/>
    </row>
    <row r="609" spans="6:6" ht="15.75" customHeight="1">
      <c r="F609" s="497"/>
    </row>
    <row r="610" spans="6:6" ht="15.75" customHeight="1">
      <c r="F610" s="497"/>
    </row>
    <row r="611" spans="6:6" ht="15.75" customHeight="1">
      <c r="F611" s="497"/>
    </row>
    <row r="612" spans="6:6" ht="15.75" customHeight="1">
      <c r="F612" s="497"/>
    </row>
    <row r="613" spans="6:6" ht="15.75" customHeight="1">
      <c r="F613" s="497"/>
    </row>
    <row r="614" spans="6:6" ht="15.75" customHeight="1">
      <c r="F614" s="497"/>
    </row>
    <row r="615" spans="6:6" ht="15.75" customHeight="1">
      <c r="F615" s="497"/>
    </row>
    <row r="616" spans="6:6" ht="15.75" customHeight="1">
      <c r="F616" s="497"/>
    </row>
    <row r="617" spans="6:6" ht="15.75" customHeight="1">
      <c r="F617" s="497"/>
    </row>
    <row r="618" spans="6:6" ht="15.75" customHeight="1">
      <c r="F618" s="497"/>
    </row>
    <row r="619" spans="6:6" ht="15.75" customHeight="1">
      <c r="F619" s="497"/>
    </row>
    <row r="620" spans="6:6" ht="15.75" customHeight="1">
      <c r="F620" s="497"/>
    </row>
    <row r="621" spans="6:6" ht="15.75" customHeight="1">
      <c r="F621" s="497"/>
    </row>
    <row r="622" spans="6:6" ht="15.75" customHeight="1">
      <c r="F622" s="497"/>
    </row>
    <row r="623" spans="6:6" ht="15.75" customHeight="1">
      <c r="F623" s="497"/>
    </row>
    <row r="624" spans="6:6" ht="15.75" customHeight="1">
      <c r="F624" s="497"/>
    </row>
    <row r="625" spans="6:6" ht="15.75" customHeight="1">
      <c r="F625" s="497"/>
    </row>
    <row r="626" spans="6:6" ht="15.75" customHeight="1">
      <c r="F626" s="497"/>
    </row>
    <row r="627" spans="6:6" ht="15.75" customHeight="1">
      <c r="F627" s="497"/>
    </row>
    <row r="628" spans="6:6" ht="15.75" customHeight="1">
      <c r="F628" s="497"/>
    </row>
    <row r="629" spans="6:6" ht="15.75" customHeight="1">
      <c r="F629" s="497"/>
    </row>
    <row r="630" spans="6:6" ht="15.75" customHeight="1">
      <c r="F630" s="497"/>
    </row>
    <row r="631" spans="6:6" ht="15.75" customHeight="1">
      <c r="F631" s="497"/>
    </row>
    <row r="632" spans="6:6" ht="15.75" customHeight="1">
      <c r="F632" s="497"/>
    </row>
    <row r="633" spans="6:6" ht="15.75" customHeight="1">
      <c r="F633" s="497"/>
    </row>
    <row r="634" spans="6:6" ht="15.75" customHeight="1">
      <c r="F634" s="497"/>
    </row>
    <row r="635" spans="6:6" ht="15.75" customHeight="1">
      <c r="F635" s="497"/>
    </row>
    <row r="636" spans="6:6" ht="15.75" customHeight="1">
      <c r="F636" s="497"/>
    </row>
    <row r="637" spans="6:6" ht="15.75" customHeight="1">
      <c r="F637" s="497"/>
    </row>
    <row r="638" spans="6:6" ht="15.75" customHeight="1">
      <c r="F638" s="497"/>
    </row>
    <row r="639" spans="6:6" ht="15.75" customHeight="1">
      <c r="F639" s="497"/>
    </row>
    <row r="640" spans="6:6" ht="15.75" customHeight="1">
      <c r="F640" s="497"/>
    </row>
    <row r="641" spans="6:6" ht="15.75" customHeight="1">
      <c r="F641" s="497"/>
    </row>
    <row r="642" spans="6:6" ht="15.75" customHeight="1">
      <c r="F642" s="497"/>
    </row>
    <row r="643" spans="6:6" ht="15.75" customHeight="1">
      <c r="F643" s="497"/>
    </row>
    <row r="644" spans="6:6" ht="15.75" customHeight="1">
      <c r="F644" s="497"/>
    </row>
    <row r="645" spans="6:6" ht="15.75" customHeight="1">
      <c r="F645" s="497"/>
    </row>
    <row r="646" spans="6:6" ht="15.75" customHeight="1">
      <c r="F646" s="497"/>
    </row>
    <row r="647" spans="6:6" ht="15.75" customHeight="1">
      <c r="F647" s="497"/>
    </row>
    <row r="648" spans="6:6" ht="15.75" customHeight="1">
      <c r="F648" s="497"/>
    </row>
    <row r="649" spans="6:6" ht="15.75" customHeight="1">
      <c r="F649" s="497"/>
    </row>
    <row r="650" spans="6:6" ht="15.75" customHeight="1">
      <c r="F650" s="497"/>
    </row>
    <row r="651" spans="6:6" ht="15.75" customHeight="1">
      <c r="F651" s="497"/>
    </row>
    <row r="652" spans="6:6" ht="15.75" customHeight="1">
      <c r="F652" s="497"/>
    </row>
    <row r="653" spans="6:6" ht="15.75" customHeight="1">
      <c r="F653" s="497"/>
    </row>
    <row r="654" spans="6:6" ht="15.75" customHeight="1">
      <c r="F654" s="497"/>
    </row>
    <row r="655" spans="6:6" ht="15.75" customHeight="1">
      <c r="F655" s="497"/>
    </row>
    <row r="656" spans="6:6" ht="15.75" customHeight="1">
      <c r="F656" s="497"/>
    </row>
    <row r="657" spans="6:6" ht="15.75" customHeight="1">
      <c r="F657" s="497"/>
    </row>
    <row r="658" spans="6:6" ht="15.75" customHeight="1">
      <c r="F658" s="497"/>
    </row>
    <row r="659" spans="6:6" ht="15.75" customHeight="1">
      <c r="F659" s="497"/>
    </row>
    <row r="660" spans="6:6" ht="15.75" customHeight="1">
      <c r="F660" s="497"/>
    </row>
    <row r="661" spans="6:6" ht="15.75" customHeight="1">
      <c r="F661" s="497"/>
    </row>
    <row r="662" spans="6:6" ht="15.75" customHeight="1">
      <c r="F662" s="497"/>
    </row>
    <row r="663" spans="6:6" ht="15.75" customHeight="1">
      <c r="F663" s="497"/>
    </row>
    <row r="664" spans="6:6" ht="15.75" customHeight="1">
      <c r="F664" s="497"/>
    </row>
    <row r="665" spans="6:6" ht="15.75" customHeight="1">
      <c r="F665" s="497"/>
    </row>
    <row r="666" spans="6:6" ht="15.75" customHeight="1">
      <c r="F666" s="497"/>
    </row>
    <row r="667" spans="6:6" ht="15.75" customHeight="1">
      <c r="F667" s="497"/>
    </row>
    <row r="668" spans="6:6" ht="15.75" customHeight="1">
      <c r="F668" s="497"/>
    </row>
    <row r="669" spans="6:6" ht="15.75" customHeight="1">
      <c r="F669" s="497"/>
    </row>
    <row r="670" spans="6:6" ht="15.75" customHeight="1">
      <c r="F670" s="497"/>
    </row>
    <row r="671" spans="6:6" ht="15.75" customHeight="1">
      <c r="F671" s="497"/>
    </row>
    <row r="672" spans="6:6" ht="15.75" customHeight="1">
      <c r="F672" s="497"/>
    </row>
    <row r="673" spans="6:6" ht="15.75" customHeight="1">
      <c r="F673" s="497"/>
    </row>
    <row r="674" spans="6:6" ht="15.75" customHeight="1">
      <c r="F674" s="497"/>
    </row>
    <row r="675" spans="6:6" ht="15.75" customHeight="1">
      <c r="F675" s="497"/>
    </row>
    <row r="676" spans="6:6" ht="15.75" customHeight="1">
      <c r="F676" s="497"/>
    </row>
    <row r="677" spans="6:6" ht="15.75" customHeight="1">
      <c r="F677" s="497"/>
    </row>
    <row r="678" spans="6:6" ht="15.75" customHeight="1">
      <c r="F678" s="497"/>
    </row>
    <row r="679" spans="6:6" ht="15.75" customHeight="1">
      <c r="F679" s="497"/>
    </row>
    <row r="680" spans="6:6" ht="15.75" customHeight="1">
      <c r="F680" s="497"/>
    </row>
    <row r="681" spans="6:6" ht="15.75" customHeight="1">
      <c r="F681" s="497"/>
    </row>
    <row r="682" spans="6:6" ht="15.75" customHeight="1">
      <c r="F682" s="497"/>
    </row>
    <row r="683" spans="6:6" ht="15.75" customHeight="1">
      <c r="F683" s="497"/>
    </row>
    <row r="684" spans="6:6" ht="15.75" customHeight="1">
      <c r="F684" s="497"/>
    </row>
    <row r="685" spans="6:6" ht="15.75" customHeight="1">
      <c r="F685" s="497"/>
    </row>
    <row r="686" spans="6:6" ht="15.75" customHeight="1">
      <c r="F686" s="497"/>
    </row>
    <row r="687" spans="6:6" ht="15.75" customHeight="1">
      <c r="F687" s="497"/>
    </row>
    <row r="688" spans="6:6" ht="15.75" customHeight="1">
      <c r="F688" s="497"/>
    </row>
    <row r="689" spans="6:6" ht="15.75" customHeight="1">
      <c r="F689" s="497"/>
    </row>
    <row r="690" spans="6:6" ht="15.75" customHeight="1">
      <c r="F690" s="497"/>
    </row>
    <row r="691" spans="6:6" ht="15.75" customHeight="1">
      <c r="F691" s="497"/>
    </row>
    <row r="692" spans="6:6" ht="15.75" customHeight="1">
      <c r="F692" s="497"/>
    </row>
    <row r="693" spans="6:6" ht="15.75" customHeight="1">
      <c r="F693" s="497"/>
    </row>
    <row r="694" spans="6:6" ht="15.75" customHeight="1">
      <c r="F694" s="497"/>
    </row>
    <row r="695" spans="6:6" ht="15.75" customHeight="1">
      <c r="F695" s="497"/>
    </row>
    <row r="696" spans="6:6" ht="15.75" customHeight="1">
      <c r="F696" s="497"/>
    </row>
    <row r="697" spans="6:6" ht="15.75" customHeight="1">
      <c r="F697" s="497"/>
    </row>
    <row r="698" spans="6:6" ht="15.75" customHeight="1">
      <c r="F698" s="497"/>
    </row>
    <row r="699" spans="6:6" ht="15.75" customHeight="1">
      <c r="F699" s="497"/>
    </row>
    <row r="700" spans="6:6" ht="15.75" customHeight="1">
      <c r="F700" s="497"/>
    </row>
    <row r="701" spans="6:6" ht="15.75" customHeight="1">
      <c r="F701" s="497"/>
    </row>
    <row r="702" spans="6:6" ht="15.75" customHeight="1">
      <c r="F702" s="497"/>
    </row>
    <row r="703" spans="6:6" ht="15.75" customHeight="1">
      <c r="F703" s="497"/>
    </row>
    <row r="704" spans="6:6" ht="15.75" customHeight="1">
      <c r="F704" s="497"/>
    </row>
    <row r="705" spans="6:6" ht="15.75" customHeight="1">
      <c r="F705" s="497"/>
    </row>
    <row r="706" spans="6:6" ht="15.75" customHeight="1">
      <c r="F706" s="497"/>
    </row>
    <row r="707" spans="6:6" ht="15.75" customHeight="1">
      <c r="F707" s="497"/>
    </row>
    <row r="708" spans="6:6" ht="15.75" customHeight="1">
      <c r="F708" s="497"/>
    </row>
    <row r="709" spans="6:6" ht="15.75" customHeight="1">
      <c r="F709" s="497"/>
    </row>
    <row r="710" spans="6:6" ht="15.75" customHeight="1">
      <c r="F710" s="497"/>
    </row>
    <row r="711" spans="6:6" ht="15.75" customHeight="1">
      <c r="F711" s="497"/>
    </row>
    <row r="712" spans="6:6" ht="15.75" customHeight="1">
      <c r="F712" s="497"/>
    </row>
    <row r="713" spans="6:6" ht="15.75" customHeight="1">
      <c r="F713" s="497"/>
    </row>
    <row r="714" spans="6:6" ht="15.75" customHeight="1">
      <c r="F714" s="497"/>
    </row>
    <row r="715" spans="6:6" ht="15.75" customHeight="1">
      <c r="F715" s="497"/>
    </row>
    <row r="716" spans="6:6" ht="15.75" customHeight="1">
      <c r="F716" s="497"/>
    </row>
    <row r="717" spans="6:6" ht="15.75" customHeight="1">
      <c r="F717" s="497"/>
    </row>
    <row r="718" spans="6:6" ht="15.75" customHeight="1">
      <c r="F718" s="497"/>
    </row>
    <row r="719" spans="6:6" ht="15.75" customHeight="1">
      <c r="F719" s="497"/>
    </row>
    <row r="720" spans="6:6" ht="15.75" customHeight="1">
      <c r="F720" s="497"/>
    </row>
    <row r="721" spans="6:6" ht="15.75" customHeight="1">
      <c r="F721" s="497"/>
    </row>
    <row r="722" spans="6:6" ht="15.75" customHeight="1">
      <c r="F722" s="497"/>
    </row>
    <row r="723" spans="6:6" ht="15.75" customHeight="1">
      <c r="F723" s="497"/>
    </row>
    <row r="724" spans="6:6" ht="15.75" customHeight="1">
      <c r="F724" s="497"/>
    </row>
    <row r="725" spans="6:6" ht="15.75" customHeight="1">
      <c r="F725" s="497"/>
    </row>
    <row r="726" spans="6:6" ht="15.75" customHeight="1">
      <c r="F726" s="497"/>
    </row>
    <row r="727" spans="6:6" ht="15.75" customHeight="1">
      <c r="F727" s="497"/>
    </row>
    <row r="728" spans="6:6" ht="15.75" customHeight="1">
      <c r="F728" s="497"/>
    </row>
    <row r="729" spans="6:6" ht="15.75" customHeight="1">
      <c r="F729" s="497"/>
    </row>
    <row r="730" spans="6:6" ht="15.75" customHeight="1">
      <c r="F730" s="497"/>
    </row>
    <row r="731" spans="6:6" ht="15.75" customHeight="1">
      <c r="F731" s="497"/>
    </row>
    <row r="732" spans="6:6" ht="15.75" customHeight="1">
      <c r="F732" s="497"/>
    </row>
    <row r="733" spans="6:6" ht="15.75" customHeight="1">
      <c r="F733" s="497"/>
    </row>
    <row r="734" spans="6:6" ht="15.75" customHeight="1">
      <c r="F734" s="497"/>
    </row>
    <row r="735" spans="6:6" ht="15.75" customHeight="1">
      <c r="F735" s="497"/>
    </row>
    <row r="736" spans="6:6" ht="15.75" customHeight="1">
      <c r="F736" s="497"/>
    </row>
    <row r="737" spans="6:6" ht="15.75" customHeight="1">
      <c r="F737" s="497"/>
    </row>
    <row r="738" spans="6:6" ht="15.75" customHeight="1">
      <c r="F738" s="497"/>
    </row>
    <row r="739" spans="6:6" ht="15.75" customHeight="1">
      <c r="F739" s="497"/>
    </row>
    <row r="740" spans="6:6" ht="15.75" customHeight="1">
      <c r="F740" s="497"/>
    </row>
    <row r="741" spans="6:6" ht="15.75" customHeight="1">
      <c r="F741" s="497"/>
    </row>
    <row r="742" spans="6:6" ht="15.75" customHeight="1">
      <c r="F742" s="497"/>
    </row>
    <row r="743" spans="6:6" ht="15.75" customHeight="1">
      <c r="F743" s="497"/>
    </row>
    <row r="744" spans="6:6" ht="15.75" customHeight="1">
      <c r="F744" s="497"/>
    </row>
    <row r="745" spans="6:6" ht="15.75" customHeight="1">
      <c r="F745" s="497"/>
    </row>
    <row r="746" spans="6:6" ht="15.75" customHeight="1">
      <c r="F746" s="497"/>
    </row>
    <row r="747" spans="6:6" ht="15.75" customHeight="1">
      <c r="F747" s="497"/>
    </row>
    <row r="748" spans="6:6" ht="15.75" customHeight="1">
      <c r="F748" s="497"/>
    </row>
    <row r="749" spans="6:6" ht="15.75" customHeight="1">
      <c r="F749" s="497"/>
    </row>
    <row r="750" spans="6:6" ht="15.75" customHeight="1">
      <c r="F750" s="497"/>
    </row>
    <row r="751" spans="6:6" ht="15.75" customHeight="1">
      <c r="F751" s="497"/>
    </row>
    <row r="752" spans="6:6" ht="15.75" customHeight="1">
      <c r="F752" s="497"/>
    </row>
    <row r="753" spans="6:6" ht="15.75" customHeight="1">
      <c r="F753" s="497"/>
    </row>
    <row r="754" spans="6:6" ht="15.75" customHeight="1">
      <c r="F754" s="497"/>
    </row>
    <row r="755" spans="6:6" ht="15.75" customHeight="1">
      <c r="F755" s="497"/>
    </row>
    <row r="756" spans="6:6" ht="15.75" customHeight="1">
      <c r="F756" s="497"/>
    </row>
    <row r="757" spans="6:6" ht="15.75" customHeight="1">
      <c r="F757" s="497"/>
    </row>
    <row r="758" spans="6:6" ht="15.75" customHeight="1">
      <c r="F758" s="497"/>
    </row>
    <row r="759" spans="6:6" ht="15.75" customHeight="1">
      <c r="F759" s="497"/>
    </row>
    <row r="760" spans="6:6" ht="15.75" customHeight="1">
      <c r="F760" s="497"/>
    </row>
    <row r="761" spans="6:6" ht="15.75" customHeight="1">
      <c r="F761" s="497"/>
    </row>
    <row r="762" spans="6:6" ht="15.75" customHeight="1">
      <c r="F762" s="497"/>
    </row>
    <row r="763" spans="6:6" ht="15.75" customHeight="1">
      <c r="F763" s="497"/>
    </row>
    <row r="764" spans="6:6" ht="15.75" customHeight="1">
      <c r="F764" s="497"/>
    </row>
    <row r="765" spans="6:6" ht="15.75" customHeight="1">
      <c r="F765" s="497"/>
    </row>
    <row r="766" spans="6:6" ht="15.75" customHeight="1">
      <c r="F766" s="497"/>
    </row>
    <row r="767" spans="6:6" ht="15.75" customHeight="1">
      <c r="F767" s="497"/>
    </row>
    <row r="768" spans="6:6" ht="15.75" customHeight="1">
      <c r="F768" s="497"/>
    </row>
    <row r="769" spans="6:6" ht="15.75" customHeight="1">
      <c r="F769" s="497"/>
    </row>
    <row r="770" spans="6:6" ht="15.75" customHeight="1">
      <c r="F770" s="497"/>
    </row>
    <row r="771" spans="6:6" ht="15.75" customHeight="1">
      <c r="F771" s="497"/>
    </row>
    <row r="772" spans="6:6" ht="15.75" customHeight="1">
      <c r="F772" s="497"/>
    </row>
    <row r="773" spans="6:6" ht="15.75" customHeight="1">
      <c r="F773" s="497"/>
    </row>
    <row r="774" spans="6:6" ht="15.75" customHeight="1">
      <c r="F774" s="497"/>
    </row>
    <row r="775" spans="6:6" ht="15.75" customHeight="1">
      <c r="F775" s="497"/>
    </row>
    <row r="776" spans="6:6" ht="15.75" customHeight="1">
      <c r="F776" s="497"/>
    </row>
    <row r="777" spans="6:6" ht="15.75" customHeight="1">
      <c r="F777" s="497"/>
    </row>
    <row r="778" spans="6:6" ht="15.75" customHeight="1">
      <c r="F778" s="497"/>
    </row>
    <row r="779" spans="6:6" ht="15.75" customHeight="1">
      <c r="F779" s="497"/>
    </row>
    <row r="780" spans="6:6" ht="15.75" customHeight="1">
      <c r="F780" s="497"/>
    </row>
    <row r="781" spans="6:6" ht="15.75" customHeight="1">
      <c r="F781" s="497"/>
    </row>
    <row r="782" spans="6:6" ht="15.75" customHeight="1">
      <c r="F782" s="497"/>
    </row>
    <row r="783" spans="6:6" ht="15.75" customHeight="1">
      <c r="F783" s="497"/>
    </row>
    <row r="784" spans="6:6" ht="15.75" customHeight="1">
      <c r="F784" s="497"/>
    </row>
    <row r="785" spans="6:6" ht="15.75" customHeight="1">
      <c r="F785" s="497"/>
    </row>
    <row r="786" spans="6:6" ht="15.75" customHeight="1">
      <c r="F786" s="497"/>
    </row>
    <row r="787" spans="6:6" ht="15.75" customHeight="1">
      <c r="F787" s="497"/>
    </row>
    <row r="788" spans="6:6" ht="15.75" customHeight="1">
      <c r="F788" s="497"/>
    </row>
    <row r="789" spans="6:6" ht="15.75" customHeight="1">
      <c r="F789" s="497"/>
    </row>
    <row r="790" spans="6:6" ht="15.75" customHeight="1">
      <c r="F790" s="497"/>
    </row>
    <row r="791" spans="6:6" ht="15.75" customHeight="1">
      <c r="F791" s="497"/>
    </row>
    <row r="792" spans="6:6" ht="15.75" customHeight="1">
      <c r="F792" s="497"/>
    </row>
    <row r="793" spans="6:6" ht="15.75" customHeight="1">
      <c r="F793" s="497"/>
    </row>
    <row r="794" spans="6:6" ht="15.75" customHeight="1">
      <c r="F794" s="497"/>
    </row>
    <row r="795" spans="6:6" ht="15.75" customHeight="1">
      <c r="F795" s="497"/>
    </row>
    <row r="796" spans="6:6" ht="15.75" customHeight="1">
      <c r="F796" s="497"/>
    </row>
    <row r="797" spans="6:6" ht="15.75" customHeight="1">
      <c r="F797" s="497"/>
    </row>
    <row r="798" spans="6:6" ht="15.75" customHeight="1">
      <c r="F798" s="497"/>
    </row>
    <row r="799" spans="6:6" ht="15.75" customHeight="1">
      <c r="F799" s="497"/>
    </row>
    <row r="800" spans="6:6" ht="15.75" customHeight="1">
      <c r="F800" s="497"/>
    </row>
    <row r="801" spans="6:6" ht="15.75" customHeight="1">
      <c r="F801" s="497"/>
    </row>
    <row r="802" spans="6:6" ht="15.75" customHeight="1">
      <c r="F802" s="497"/>
    </row>
    <row r="803" spans="6:6" ht="15.75" customHeight="1">
      <c r="F803" s="497"/>
    </row>
    <row r="804" spans="6:6" ht="15.75" customHeight="1">
      <c r="F804" s="497"/>
    </row>
    <row r="805" spans="6:6" ht="15.75" customHeight="1">
      <c r="F805" s="497"/>
    </row>
    <row r="806" spans="6:6" ht="15.75" customHeight="1">
      <c r="F806" s="497"/>
    </row>
    <row r="807" spans="6:6" ht="15.75" customHeight="1">
      <c r="F807" s="497"/>
    </row>
    <row r="808" spans="6:6" ht="15.75" customHeight="1">
      <c r="F808" s="497"/>
    </row>
    <row r="809" spans="6:6" ht="15.75" customHeight="1">
      <c r="F809" s="497"/>
    </row>
    <row r="810" spans="6:6" ht="15.75" customHeight="1">
      <c r="F810" s="497"/>
    </row>
    <row r="811" spans="6:6" ht="15.75" customHeight="1">
      <c r="F811" s="497"/>
    </row>
    <row r="812" spans="6:6" ht="15.75" customHeight="1">
      <c r="F812" s="497"/>
    </row>
    <row r="813" spans="6:6" ht="15.75" customHeight="1">
      <c r="F813" s="497"/>
    </row>
  </sheetData>
  <mergeCells count="10">
    <mergeCell ref="P208:R208"/>
    <mergeCell ref="S208:U208"/>
    <mergeCell ref="V208:X208"/>
    <mergeCell ref="B1:F1"/>
    <mergeCell ref="B3:F3"/>
    <mergeCell ref="B186:F186"/>
    <mergeCell ref="B208:F208"/>
    <mergeCell ref="G208:I208"/>
    <mergeCell ref="J208:L208"/>
    <mergeCell ref="M208:O208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Jotas</vt:lpstr>
      <vt:lpstr>Geral</vt:lpstr>
      <vt:lpstr>Círculos</vt:lpstr>
      <vt:lpstr>Apresentadores</vt:lpstr>
      <vt:lpstr>Boa Vontade</vt:lpstr>
      <vt:lpstr>Tráfego</vt:lpstr>
      <vt:lpstr>Banda</vt:lpstr>
      <vt:lpstr>Cozinha</vt:lpstr>
      <vt:lpstr>Externa</vt:lpstr>
      <vt:lpstr>Lanche</vt:lpstr>
      <vt:lpstr>Liturgia e Vigília</vt:lpstr>
      <vt:lpstr>Trânsito e Recepção</vt:lpstr>
      <vt:lpstr>Minibox</vt:lpstr>
      <vt:lpstr>Sociodrama</vt:lpstr>
      <vt:lpstr>Ordem</vt:lpstr>
      <vt:lpstr>Secretaria</vt:lpstr>
      <vt:lpstr>Som e Iluminação</vt:lpstr>
      <vt:lpstr>Cálculos</vt:lpstr>
      <vt:lpstr>Espera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</dc:creator>
  <cp:lastModifiedBy>FLRNS</cp:lastModifiedBy>
  <dcterms:created xsi:type="dcterms:W3CDTF">2019-11-15T14:12:47Z</dcterms:created>
  <dcterms:modified xsi:type="dcterms:W3CDTF">2026-01-22T23:15:38Z</dcterms:modified>
</cp:coreProperties>
</file>